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aster Material Database" sheetId="2" state="visible" r:id="rId4"/>
    <sheet name="Material Properties" sheetId="3" state="visible" r:id="rId5"/>
    <sheet name="Grain &amp; Crystal Structure" sheetId="4" state="visible" r:id="rId6"/>
    <sheet name="Formulas &amp; Worked Examples" sheetId="5" state="visible" r:id="rId7"/>
    <sheet name="Testing Methods" sheetId="6" state="visible" r:id="rId8"/>
    <sheet name="Standards Verification" sheetId="7" state="visible" r:id="rId9"/>
    <sheet name="Errors &amp; Corrections" sheetId="8" state="visible" r:id="rId10"/>
    <sheet name="Industry Considerations" sheetId="9" state="visible" r:id="rId11"/>
    <sheet name="Material Selection Report" sheetId="10" state="visible" r:id="rId12"/>
    <sheet name="Sources &amp; Assumptions" sheetId="11" state="visible" r:id="rId13"/>
  </sheets>
  <definedNames>
    <definedName function="false" hidden="false" localSheetId="7" name="_xlnm.Print_Titles" vbProcedure="false">'Errors &amp; Corrections'!$4:$4</definedName>
    <definedName function="false" hidden="true" localSheetId="7" name="_xlnm._FilterDatabase" vbProcedure="false">'Errors &amp; Corrections'!$A$4:$H$26</definedName>
    <definedName function="false" hidden="false" localSheetId="4" name="_xlnm.Print_Titles" vbProcedure="false">'Formulas &amp; Worked Examples'!$4:$4</definedName>
    <definedName function="false" hidden="false" localSheetId="3" name="_xlnm.Print_Titles" vbProcedure="false">'Grain &amp; Crystal Structure'!$4:$4</definedName>
    <definedName function="false" hidden="true" localSheetId="3" name="_xlnm._FilterDatabase" vbProcedure="false">'Grain &amp; Crystal Structure'!$A$4:$K$37</definedName>
    <definedName function="false" hidden="false" localSheetId="8" name="_xlnm.Print_Titles" vbProcedure="false">'Industry Considerations'!$4:$4</definedName>
    <definedName function="false" hidden="true" localSheetId="8" name="_xlnm._FilterDatabase" vbProcedure="false">'Industry Considerations'!$A$4:$I$39</definedName>
    <definedName function="false" hidden="false" localSheetId="1" name="_xlnm.Print_Titles" vbProcedure="false">'Master Material Database'!$4:$4</definedName>
    <definedName function="false" hidden="true" localSheetId="1" name="_xlnm._FilterDatabase" vbProcedure="false">'Master Material Database'!$A$4:$J$154</definedName>
    <definedName function="false" hidden="false" localSheetId="2" name="_xlnm.Print_Titles" vbProcedure="false">'Material Properties'!$4:$4</definedName>
    <definedName function="false" hidden="true" localSheetId="2" name="_xlnm._FilterDatabase" vbProcedure="false">'Material Properties'!$A$4:$AA$84</definedName>
    <definedName function="false" hidden="false" localSheetId="9" name="_xlnm.Print_Titles" vbProcedure="false">'Material Selection Report'!$4:$4</definedName>
    <definedName function="false" hidden="true" localSheetId="9" name="_xlnm._FilterDatabase" vbProcedure="false">'Material Selection Report'!$A$4:$G$28</definedName>
    <definedName function="false" hidden="false" localSheetId="6" name="_xlnm.Print_Titles" vbProcedure="false">'Standards Verification'!$4:$4</definedName>
    <definedName function="false" hidden="true" localSheetId="6" name="_xlnm._FilterDatabase" vbProcedure="false">'Standards Verification'!$A$4:$M$31</definedName>
    <definedName function="false" hidden="false" localSheetId="5" name="_xlnm.Print_Titles" vbProcedure="false">'Testing Methods'!$4:$4</definedName>
    <definedName function="false" hidden="true" localSheetId="5" name="_xlnm._FilterDatabase" vbProcedure="false">'Testing Methods'!$A$4:$K$48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<sst xmlns="http://schemas.openxmlformats.org/spreadsheetml/2006/main" count="5022" uniqueCount="2962">
  <si>
    <t xml:space="preserve">Deep Materials Engineering Analysis, Standards Verification &amp; Industry Report</t>
  </si>
  <si>
    <t xml:space="preserve">Basis: uploaded 'mechanical_materials_properties_tests_master_list.xlsx' (132 grades) + master prompt. Prepared 21 Oct 2026.</t>
  </si>
  <si>
    <t xml:space="preserve">1. Scope and objectives</t>
  </si>
  <si>
    <t xml:space="preserve">Scope</t>
  </si>
  <si>
    <t xml:space="preserve">Audit and enrich the supplied 132-grade master list: qualified crystal/grain structure, property database, formula register with independent checks, testing-method register, standards audit, error log, industry considerations and application-based selection. Built as a clearly scoped, source-labelled workbook rather than a claim of full completeness.</t>
  </si>
  <si>
    <t xml:space="preserve">2. Key figures (live formulas)</t>
  </si>
  <si>
    <t xml:space="preserve">Material grades reviewed (supplied list)</t>
  </si>
  <si>
    <t xml:space="preserve">Gap-list grades suggested (not counted)</t>
  </si>
  <si>
    <t xml:space="preserve">Property records (grade/condition rows)</t>
  </si>
  <si>
    <t xml:space="preserve">Numeric property values recorded</t>
  </si>
  <si>
    <t xml:space="preserve">Grain / crystal-structure family records</t>
  </si>
  <si>
    <t xml:space="preserve">Formula blocks / independent checks executed</t>
  </si>
  <si>
    <t xml:space="preserve">Testing-method rows</t>
  </si>
  <si>
    <t xml:space="preserve">Standards reviewed (14 supplied + supporting)</t>
  </si>
  <si>
    <t xml:space="preserve">Errors / corrections logged</t>
  </si>
  <si>
    <t xml:space="preserve">Industry-consideration entries (advisory)</t>
  </si>
  <si>
    <t xml:space="preserve">3. Verification status and coverage by domain</t>
  </si>
  <si>
    <t xml:space="preserve">Domain</t>
  </si>
  <si>
    <t xml:space="preserve">Items reviewed</t>
  </si>
  <si>
    <t xml:space="preserve">Verified</t>
  </si>
  <si>
    <t xml:space="preserve">Conditionally verified</t>
  </si>
  <si>
    <t xml:space="preserve">Incorrect</t>
  </si>
  <si>
    <t xml:space="preserve">Unverified</t>
  </si>
  <si>
    <t xml:space="preserve">Strict Cv</t>
  </si>
  <si>
    <t xml:space="preserve">Conditional Cv</t>
  </si>
  <si>
    <t xml:space="preserve">Reconciles?</t>
  </si>
  <si>
    <t xml:space="preserve">Master-list designations</t>
  </si>
  <si>
    <t xml:space="preserve">Property records (Sheet 3)</t>
  </si>
  <si>
    <t xml:space="preserve">Grain / crystal-structure records</t>
  </si>
  <si>
    <t xml:space="preserve">Formula checks (Sheet 5)</t>
  </si>
  <si>
    <t xml:space="preserve">Testing-method references</t>
  </si>
  <si>
    <t xml:space="preserve">Standards (supplied + supporting)</t>
  </si>
  <si>
    <t xml:space="preserve">TOTAL</t>
  </si>
  <si>
    <t xml:space="preserve">Counting rule</t>
  </si>
  <si>
    <t xml:space="preserve">Cv(strict) = N_verified / N_items_reviewed × 100% — 'Verified' means checked against an authoritative document or independently recalculated (all current Verified items are arithmetic/unit checks). Cv(conditional) = (Verified + Conditionally verified) / N_items. Gap-list grades (not in upload) and advisory industry rows are excluded because they are suggestions, not reviewed items. Items are not weighted.</t>
  </si>
  <si>
    <t xml:space="preserve">Accuracy vs coverage</t>
  </si>
  <si>
    <t xml:space="preserve">Verification coverage is NOT numerical accuracy. Numerical accuracy was not measured (no reference dataset or measurement comparison); property values are recalled handbook/standard values with stated confidence.</t>
  </si>
  <si>
    <t xml:space="preserve">Why 90–95% was not reached</t>
  </si>
  <si>
    <t xml:space="preserve">No network/authoritative-document access in this session, so standards and datasheet values could not be checked against BIS/ASTM/manufacturer documents. Conditional coverage shows how much is consistent with recalled knowledge; the gap to strict coverage is the remaining verification work (Sheet 11, unresolved items).</t>
  </si>
  <si>
    <t xml:space="preserve">4. Major corrections (details in Sheet 8)</t>
  </si>
  <si>
    <t xml:space="preserve">• EN8/EN19/EN24 are withdrawn BS 970 designations — replaced by EN 10083 grades (similar, not identical).</t>
  </si>
  <si>
    <t xml:space="preserve">• '/' pairs (1045/C45, 4140/42CrMo4, 52100/100Cr6) are similar, not equivalent.</t>
  </si>
  <si>
    <t xml:space="preserve">• 'SS 2xx/3xx' is not a standard designation — use ASTM A240 type/UNS/EN 10088/IS 6911.</t>
  </si>
  <si>
    <t xml:space="preserve">• IS 2062 E250/E350 are incomplete without quality designation; 17-4 PH needs ageing condition; 2205 has UNS S32205 and S31803.</t>
  </si>
  <si>
    <t xml:space="preserve">• ASTM B117 is an apparatus practice (no pass/fail); ASTM E3 is a Guide; ASTM E164 and IS 1865 status unverified.</t>
  </si>
  <si>
    <t xml:space="preserve">• Under-specified items (CoCr, graphite, CBN/PCD, composites, ceramics) cannot carry grade-specific properties.</t>
  </si>
  <si>
    <t xml:space="preserve">5. Important limitations</t>
  </si>
  <si>
    <t xml:space="preserve">• Values are recalled typical/specified figures; none re-fetched; no publication dates recorded.</t>
  </si>
  <si>
    <t xml:space="preserve">• Standard editions are recalled and may be outdated; paywalled texts were not examined.</t>
  </si>
  <si>
    <t xml:space="preserve">• Fatigue, impact and fracture-toughness values are largely not recorded (grade/condition/test-specific).</t>
  </si>
  <si>
    <t xml:space="preserve">• Typical values are not guaranteed minimum design properties; use product-standard minima/design allowables.</t>
  </si>
  <si>
    <t xml:space="preserve">• Polymers, ceramics, composites are datasheet/grade dependent — ranges are indicative (Low confidence).</t>
  </si>
  <si>
    <t xml:space="preserve">Sheet 2 — Master Material Database (132 supplied grades + reviewer gap list)</t>
  </si>
  <si>
    <t xml:space="preserve">One row per supplied designation. Crystal structure/phase text is qualified by condition — no single structure is assigned to a whole alloy family. Statuses: see Executive Summary definitions.</t>
  </si>
  <si>
    <t xml:space="preserve">No.</t>
  </si>
  <si>
    <t xml:space="preserve">Designation (as supplied)</t>
  </si>
  <si>
    <t xml:space="preserve">Corrected / preferred designation</t>
  </si>
  <si>
    <t xml:space="preserve">Material family (supplied)</t>
  </si>
  <si>
    <t xml:space="preserve">Candidate governing standards (recalled; verify)</t>
  </si>
  <si>
    <t xml:space="preserve">Crystal structure at RT (qualified)</t>
  </si>
  <si>
    <t xml:space="preserve">Phases &amp; typical grain / microstructure</t>
  </si>
  <si>
    <t xml:space="preserve">Property rows in Sheet 3 [calc]</t>
  </si>
  <si>
    <t xml:space="preserve">Designation verification status</t>
  </si>
  <si>
    <t xml:space="preserve">Reviewer note</t>
  </si>
  <si>
    <t xml:space="preserve">AISI 1006</t>
  </si>
  <si>
    <t xml:space="preserve">AISI/SAE 1006 (UNS G10060)</t>
  </si>
  <si>
    <t xml:space="preserve">Low-carbon steel</t>
  </si>
  <si>
    <t xml:space="preserve">ASTM A29/A29M (bar chemistry); A1008/A1011 (sheet); SAE J403</t>
  </si>
  <si>
    <t xml:space="preserve">BCC α-ferrite + orthorhombic Fe3C (cementite) in pearlite</t>
  </si>
  <si>
    <t xml:space="preserve">Ferrite-dominant with minor pearlite; equiaxed ferrite grains (hot-rolled/normalised) or elongated (cold-worked). Grain size set by processing — specify per ASTM E112.</t>
  </si>
  <si>
    <t xml:space="preserve">Mostly flat-rolled; temper/finish must be stated.</t>
  </si>
  <si>
    <t xml:space="preserve">AISI 1008</t>
  </si>
  <si>
    <t xml:space="preserve">AISI/SAE 1008 (UNS G10080)</t>
  </si>
  <si>
    <t xml:space="preserve">ASTM A29/A29M; A1008/A1011; SAE J403</t>
  </si>
  <si>
    <t xml:space="preserve">Deep-drawing/sheet use.</t>
  </si>
  <si>
    <t xml:space="preserve">AISI 1010</t>
  </si>
  <si>
    <t xml:space="preserve">AISI/SAE 1010 (UNS G10100)</t>
  </si>
  <si>
    <t xml:space="preserve">ASTM A29/A29M; A108 (cold-finished)</t>
  </si>
  <si>
    <t xml:space="preserve">Case-hardenable.</t>
  </si>
  <si>
    <t xml:space="preserve">AISI 1018</t>
  </si>
  <si>
    <t xml:space="preserve">AISI/SAE 1018 (UNS G10180)</t>
  </si>
  <si>
    <t xml:space="preserve">ASTM A29/A29M; A108</t>
  </si>
  <si>
    <t xml:space="preserve">Hot-rolled vs cold-drawn properties differ substantially.</t>
  </si>
  <si>
    <t xml:space="preserve">AISI 1020</t>
  </si>
  <si>
    <t xml:space="preserve">AISI/SAE 1020 (UNS G10200)</t>
  </si>
  <si>
    <t xml:space="preserve">Case-hardening response is limited vs alloy steels.</t>
  </si>
  <si>
    <t xml:space="preserve">AISI 1025</t>
  </si>
  <si>
    <t xml:space="preserve">AISI/SAE 1025 (UNS G10250)</t>
  </si>
  <si>
    <t xml:space="preserve">Carbon steel</t>
  </si>
  <si>
    <t xml:space="preserve">ASTM A29/A29M</t>
  </si>
  <si>
    <t xml:space="preserve">AISI 1035</t>
  </si>
  <si>
    <t xml:space="preserve">AISI/SAE 1035 (UNS G10350)</t>
  </si>
  <si>
    <t xml:space="preserve">Medium-carbon steel</t>
  </si>
  <si>
    <t xml:space="preserve">BCC α-ferrite + Fe3C (pearlite); BCT martensite if quenched</t>
  </si>
  <si>
    <t xml:space="preserve">Ferrite + pearlite (lever-rule estimate ≈44% pearlite at 0.35%C, ≈64% at 0.50%C); tempered martensite after Q&amp;T. Hardenability is carbon-controlled (modest).</t>
  </si>
  <si>
    <t xml:space="preserve">AISI 1040</t>
  </si>
  <si>
    <t xml:space="preserve">AISI/SAE 1040 (UNS G10400)</t>
  </si>
  <si>
    <t xml:space="preserve">AISI 1045 / C45</t>
  </si>
  <si>
    <t xml:space="preserve">AISI/SAE 1045 (UNS G10450). EN C45 (1.0503) is similar, NOT identical</t>
  </si>
  <si>
    <t xml:space="preserve">ASTM A29/A29M; EN 10083-2 (C45)</t>
  </si>
  <si>
    <t xml:space="preserve">Slash implies equivalence — see Errors E02.</t>
  </si>
  <si>
    <t xml:space="preserve">AISI 1050</t>
  </si>
  <si>
    <t xml:space="preserve">AISI/SAE 1050 (UNS G10500)</t>
  </si>
  <si>
    <t xml:space="preserve">AISI 1060</t>
  </si>
  <si>
    <t xml:space="preserve">AISI/SAE 1060 (UNS G10600)</t>
  </si>
  <si>
    <t xml:space="preserve">High-carbon steel</t>
  </si>
  <si>
    <t xml:space="preserve">BCC α-ferrite + Fe3C; BCT martensite if quenched</t>
  </si>
  <si>
    <t xml:space="preserve">Mostly pearlite (≈77% at 0.60%C by lever rule); fine pearlite/spheroidised or tempered martensite for springs/wear parts.</t>
  </si>
  <si>
    <t xml:space="preserve">IS 2062 E250</t>
  </si>
  <si>
    <t xml:space="preserve">IS 2062:2011 E250 + quality designation (A / BR / B0 / C)</t>
  </si>
  <si>
    <t xml:space="preserve">Structural steel</t>
  </si>
  <si>
    <t xml:space="preserve">IS 2062 (hot-rolled structural steel); impact/test options depend on quality designation</t>
  </si>
  <si>
    <t xml:space="preserve">Grade without quality designation is incomplete; min. yield falls with thickness (E1).</t>
  </si>
  <si>
    <t xml:space="preserve">IS 2062 E350</t>
  </si>
  <si>
    <t xml:space="preserve">IS 2062:2011 E350 + quality designation</t>
  </si>
  <si>
    <t xml:space="preserve">IS 2062</t>
  </si>
  <si>
    <t xml:space="preserve">BCC ferrite + pearlite/bainite; fine Nb/V/Ti carbonitride precipitates</t>
  </si>
  <si>
    <t xml:space="preserve">Fine-grained ferrite-pearlite from controlled rolling; strength from grain refinement + precipitation. Weld HAZ grain coarsening can reduce toughness.</t>
  </si>
  <si>
    <t xml:space="preserve">As E250; check thickness bands.</t>
  </si>
  <si>
    <t xml:space="preserve">ASTM A36</t>
  </si>
  <si>
    <t xml:space="preserve">ASTM A36/A36M</t>
  </si>
  <si>
    <t xml:space="preserve">Plate/shapes/bar; Charpy not required unless ordered.</t>
  </si>
  <si>
    <t xml:space="preserve">ASTM A572 Grade 50</t>
  </si>
  <si>
    <t xml:space="preserve">ASTM A572/A572M Grade 50</t>
  </si>
  <si>
    <t xml:space="preserve">HSLA structural steel</t>
  </si>
  <si>
    <t xml:space="preserve">ASTM A572/A572M</t>
  </si>
  <si>
    <t xml:space="preserve">Type (1–5) chemistry should be stated.</t>
  </si>
  <si>
    <t xml:space="preserve">AISI 4130</t>
  </si>
  <si>
    <t xml:space="preserve">AISI/SAE 4130 (UNS G41300)</t>
  </si>
  <si>
    <t xml:space="preserve">Cr-Mo alloy steel</t>
  </si>
  <si>
    <t xml:space="preserve">ASTM A29/A29M; tubing ASTM A519</t>
  </si>
  <si>
    <t xml:space="preserve">Tempered martensite: BCC ferrite matrix + alloy carbides (as-quenched martensite is BCT)</t>
  </si>
  <si>
    <t xml:space="preserve">Q&amp;T gives tempered martensite/bainite; prior-austenite grain size controls toughness. Risks: temper embrittlement, quench cracking, hydrogen embrittlement at high strength.</t>
  </si>
  <si>
    <t xml:space="preserve">Weld preheat/PWHT needed for thick sections.</t>
  </si>
  <si>
    <t xml:space="preserve">AISI 4140 / 42CrMo4</t>
  </si>
  <si>
    <t xml:space="preserve">AISI/SAE 4140 (UNS G41400). EN 42CrMo4 (1.7225) is similar, NOT identical</t>
  </si>
  <si>
    <t xml:space="preserve">ASTM A29/A29M; EN 10083-3 (42CrMo4)</t>
  </si>
  <si>
    <t xml:space="preserve">Cr/Mo/Mn/C ranges differ slightly — see Errors E03.</t>
  </si>
  <si>
    <t xml:space="preserve">AISI 4340</t>
  </si>
  <si>
    <t xml:space="preserve">AISI/SAE 4340 (UNS G43400)</t>
  </si>
  <si>
    <t xml:space="preserve">Ni-Cr-Mo alloy steel</t>
  </si>
  <si>
    <t xml:space="preserve">High hardenability; hydrogen-embrittlement sensitive at high strength.</t>
  </si>
  <si>
    <t xml:space="preserve">AISI 8620</t>
  </si>
  <si>
    <t xml:space="preserve">AISI/SAE 8620 (UNS G86200)</t>
  </si>
  <si>
    <t xml:space="preserve">Case-hardening alloy steel</t>
  </si>
  <si>
    <t xml:space="preserve">Case: high-C tempered martensite (BCT→BCC) + carbides + retained austenite (FCC). Core: low-C martensite/bainite/ferrite</t>
  </si>
  <si>
    <t xml:space="preserve">Carburised case (~0.8%C at surface) over a tough low-carbon core; retained austenite, carbide networks and grain-boundary oxidation must be controlled; grinding burn risk.</t>
  </si>
  <si>
    <t xml:space="preserve">Gear/shaft case-hardening steel.</t>
  </si>
  <si>
    <t xml:space="preserve">AISI 9310</t>
  </si>
  <si>
    <t xml:space="preserve">AISI/SAE 9310 (UNS G93100)</t>
  </si>
  <si>
    <t xml:space="preserve">Case-hardening gear steel</t>
  </si>
  <si>
    <t xml:space="preserve">ASTM A29/A29M (aerospace gear grade often per AMS)</t>
  </si>
  <si>
    <t xml:space="preserve">Heavy-duty/aero gears; vacuum-melt versions exist.</t>
  </si>
  <si>
    <t xml:space="preserve">16MnCr5</t>
  </si>
  <si>
    <t xml:space="preserve">16MnCr5 (1.7131)</t>
  </si>
  <si>
    <t xml:space="preserve">Case-hardening steel</t>
  </si>
  <si>
    <t xml:space="preserve">EN 10084 (case-hardening steels)</t>
  </si>
  <si>
    <t xml:space="preserve">20MnCr5</t>
  </si>
  <si>
    <t xml:space="preserve">20MnCr5 (1.7147)</t>
  </si>
  <si>
    <t xml:space="preserve">EN 10084</t>
  </si>
  <si>
    <t xml:space="preserve">40Cr</t>
  </si>
  <si>
    <t xml:space="preserve">40Cr (China, GB/T 3077)</t>
  </si>
  <si>
    <t xml:space="preserve">Alloy steel</t>
  </si>
  <si>
    <t xml:space="preserve">GB/T 3077 (China)</t>
  </si>
  <si>
    <t xml:space="preserve">Chinese designation; no BIS/ASTM equivalence asserted (approx. SAE 5140-type) — Errors E06.</t>
  </si>
  <si>
    <t xml:space="preserve">20CrMo</t>
  </si>
  <si>
    <t xml:space="preserve">20CrMo (China, GB/T 3077)</t>
  </si>
  <si>
    <t xml:space="preserve">Chinese designation; carburising/structural; no BIS equivalence asserted.</t>
  </si>
  <si>
    <t xml:space="preserve">25CrMo4</t>
  </si>
  <si>
    <t xml:space="preserve">25CrMo4 (1.7218)</t>
  </si>
  <si>
    <t xml:space="preserve">EN 10083-3</t>
  </si>
  <si>
    <t xml:space="preserve">34CrNiMo6</t>
  </si>
  <si>
    <t xml:space="preserve">34CrNiMo6 (1.6582)</t>
  </si>
  <si>
    <t xml:space="preserve">Closest modern grade to legacy EN24 (not identical).</t>
  </si>
  <si>
    <t xml:space="preserve">18CrNiMo7-6</t>
  </si>
  <si>
    <t xml:space="preserve">18CrNiMo7-6 (1.6587)</t>
  </si>
  <si>
    <t xml:space="preserve">Heavy gears; high core toughness.</t>
  </si>
  <si>
    <t xml:space="preserve">EN8 (verify product standard)</t>
  </si>
  <si>
    <t xml:space="preserve">LEGACY: EN8 = BS 970 080M40 (withdrawn). Modern: C40/C45 (EN 10083-2)</t>
  </si>
  <si>
    <t xml:space="preserve">Engineering carbon steel</t>
  </si>
  <si>
    <t xml:space="preserve">BS 970 withdrawn → BS EN 10083-2</t>
  </si>
  <si>
    <t xml:space="preserve">Obsolete designation; modern grade similar not identical — Errors E01.</t>
  </si>
  <si>
    <t xml:space="preserve">EN19 (verify product standard)</t>
  </si>
  <si>
    <t xml:space="preserve">LEGACY: EN19 = BS 970 709M40/708M40 (withdrawn). Modern: 42CrMo4</t>
  </si>
  <si>
    <t xml:space="preserve">Engineering alloy steel</t>
  </si>
  <si>
    <t xml:space="preserve">BS 970 withdrawn → EN 10083-3</t>
  </si>
  <si>
    <t xml:space="preserve">Obsolete designation — Errors E01.</t>
  </si>
  <si>
    <t xml:space="preserve">EN24 (verify product standard)</t>
  </si>
  <si>
    <t xml:space="preserve">LEGACY: EN24 = BS 970 817M40 (withdrawn). Modern: 34CrNiMo6 (approx.)</t>
  </si>
  <si>
    <t xml:space="preserve">SS 201</t>
  </si>
  <si>
    <t xml:space="preserve">ASTM A240 Type 201 (UNS S20100)</t>
  </si>
  <si>
    <t xml:space="preserve">Stainless steel</t>
  </si>
  <si>
    <t xml:space="preserve">ASTM A240/A240M; IS 6911 (plate/sheet/strip)</t>
  </si>
  <si>
    <t xml:space="preserve">FCC γ-austenite</t>
  </si>
  <si>
    <t xml:space="preserve">Single-phase austenite with annealing twins; strengthened by cold work (strain-induced martensite possible in 301/304). Sensitisation risk (Cr carbides at grain boundaries) if held ~450–850 °C with higher C.</t>
  </si>
  <si>
    <t xml:space="preserve">Mn/N replace part of Ni; lower corrosion resistance; frequently mis-sold as 304 — verify by PMI.</t>
  </si>
  <si>
    <t xml:space="preserve">SS 301</t>
  </si>
  <si>
    <t xml:space="preserve">ASTM A240 Type 301 (UNS S30100)</t>
  </si>
  <si>
    <t xml:space="preserve">Austenitic stainless steel</t>
  </si>
  <si>
    <t xml:space="preserve">ASTM A240/A240M; A666 (cold-worked tempers)</t>
  </si>
  <si>
    <t xml:space="preserve">Strain-hardens rapidly; condition (annealed/¼H…) must be stated.</t>
  </si>
  <si>
    <t xml:space="preserve">SS 304</t>
  </si>
  <si>
    <t xml:space="preserve">ASTM A240 Type 304 (UNS S30400)</t>
  </si>
  <si>
    <t xml:space="preserve">ASTM A240/A240M; IS 6911</t>
  </si>
  <si>
    <t xml:space="preserve">SS 304L</t>
  </si>
  <si>
    <t xml:space="preserve">ASTM A240 Type 304L (UNS S30403)</t>
  </si>
  <si>
    <t xml:space="preserve">Low-carbon austenitic stainless</t>
  </si>
  <si>
    <t xml:space="preserve">Low-C for weld sensitisation resistance.</t>
  </si>
  <si>
    <t xml:space="preserve">SS 316</t>
  </si>
  <si>
    <t xml:space="preserve">ASTM A240 Type 316 (UNS S31600)</t>
  </si>
  <si>
    <t xml:space="preserve">SS 316L</t>
  </si>
  <si>
    <t xml:space="preserve">ASTM A240 Type 316L (UNS S31603)</t>
  </si>
  <si>
    <t xml:space="preserve">SS 321</t>
  </si>
  <si>
    <t xml:space="preserve">ASTM A240 Type 321 (UNS S32100)</t>
  </si>
  <si>
    <t xml:space="preserve">Stabilized austenitic stainless</t>
  </si>
  <si>
    <t xml:space="preserve">ASTM A240/A240M</t>
  </si>
  <si>
    <t xml:space="preserve">Ti-stabilised.</t>
  </si>
  <si>
    <t xml:space="preserve">SS 310S</t>
  </si>
  <si>
    <t xml:space="preserve">ASTM A240 Type 310S (UNS S31008)</t>
  </si>
  <si>
    <t xml:space="preserve">Heat-resistant stainless</t>
  </si>
  <si>
    <t xml:space="preserve">High Cr-Ni for oxidation resistance; sigma risk on long exposure.</t>
  </si>
  <si>
    <t xml:space="preserve">SS 410</t>
  </si>
  <si>
    <t xml:space="preserve">ASTM A240 Type 410 (UNS S41000)</t>
  </si>
  <si>
    <t xml:space="preserve">Martensitic stainless</t>
  </si>
  <si>
    <t xml:space="preserve">ASTM A240/A240M; A276 (bar)</t>
  </si>
  <si>
    <t xml:space="preserve">BCT martensite as-quenched → tempered martensite (BCC + carbides); annealed: ferrite + carbides</t>
  </si>
  <si>
    <t xml:space="preserve">Hardenable stainless; high-C 440C contains large primary Cr carbides. Tempering window controls corrosion resistance and toughness.</t>
  </si>
  <si>
    <t xml:space="preserve">Condition (annealed/hardened-tempered) must be stated.</t>
  </si>
  <si>
    <t xml:space="preserve">SS 420</t>
  </si>
  <si>
    <t xml:space="preserve">ASTM A240/A276 Type 420 (UNS S42000)</t>
  </si>
  <si>
    <t xml:space="preserve">ASTM A276</t>
  </si>
  <si>
    <t xml:space="preserve">SS 430</t>
  </si>
  <si>
    <t xml:space="preserve">ASTM A240 Type 430 (UNS S43000)</t>
  </si>
  <si>
    <t xml:space="preserve">Ferritic stainless</t>
  </si>
  <si>
    <t xml:space="preserve">BCC α-ferrite</t>
  </si>
  <si>
    <t xml:space="preserve">Single-phase ferrite (no martensitic hardening); grain coarsening in welds; 475 °C embrittlement and sigma risk at long exposure.</t>
  </si>
  <si>
    <t xml:space="preserve">SS 440C</t>
  </si>
  <si>
    <t xml:space="preserve">ASTM A276 Type 440C (UNS S44004)</t>
  </si>
  <si>
    <t xml:space="preserve">High-carbon martensitic stainless</t>
  </si>
  <si>
    <t xml:space="preserve">Bearing/valve parts; corrosion resistance lower than 304/316.</t>
  </si>
  <si>
    <t xml:space="preserve">Duplex SS 2205</t>
  </si>
  <si>
    <t xml:space="preserve">Duplex 2205: UNS S32205 (older S31803 range) — EN 1.4462</t>
  </si>
  <si>
    <t xml:space="preserve">Duplex stainless</t>
  </si>
  <si>
    <t xml:space="preserve">ASTM A240/A240M; EN 10088</t>
  </si>
  <si>
    <t xml:space="preserve">≈50:50 BCC δ-ferrite + FCC γ-austenite</t>
  </si>
  <si>
    <t xml:space="preserve">Phase balance (≈40–60% ferrite) set by chemistry + solution anneal/quench; intermetallic (sigma, chi) risk ≈600–1000 °C; 475 °C embrittlement of ferrite.</t>
  </si>
  <si>
    <t xml:space="preserve">Two UNS numbers exist — Errors E09.</t>
  </si>
  <si>
    <t xml:space="preserve">SS 17-4 PH</t>
  </si>
  <si>
    <t xml:space="preserve">17-4 PH: UNS S17400 (Type 630) + condition H900…H1150</t>
  </si>
  <si>
    <t xml:space="preserve">Precipitation-hardening stainless</t>
  </si>
  <si>
    <t xml:space="preserve">ASTM A564/A564M (bar), A693 (plate)</t>
  </si>
  <si>
    <t xml:space="preserve">Martensitic (BCC/BCT) matrix + Cu-rich precipitates</t>
  </si>
  <si>
    <t xml:space="preserve">Solution-treated lath martensite; ageing (H900–H1150) precipitates Cu-rich phase — condition sets strength/toughness/SCC resistance.</t>
  </si>
  <si>
    <t xml:space="preserve">Condition mandatory for any property statement — Errors E10.</t>
  </si>
  <si>
    <t xml:space="preserve">AISI O1</t>
  </si>
  <si>
    <t xml:space="preserve">AISI O1 (UNS T31501)</t>
  </si>
  <si>
    <t xml:space="preserve">Tool steel</t>
  </si>
  <si>
    <t xml:space="preserve">ASTM A681</t>
  </si>
  <si>
    <t xml:space="preserve">BCT martensite + alloy carbides; some retained austenite (FCC)</t>
  </si>
  <si>
    <t xml:space="preserve">Hardened/tempered martensite with carbides (cementite in O1; Cr-rich M7C3 in D2). Distortion, quench cracking and carbide banding are control points.</t>
  </si>
  <si>
    <t xml:space="preserve">AISI A2</t>
  </si>
  <si>
    <t xml:space="preserve">AISI A2 (UNS T30102)</t>
  </si>
  <si>
    <t xml:space="preserve">AISI D2</t>
  </si>
  <si>
    <t xml:space="preserve">AISI D2 (UNS T30402)</t>
  </si>
  <si>
    <t xml:space="preserve">Large Cr carbides; chipping risk.</t>
  </si>
  <si>
    <t xml:space="preserve">AISI H11</t>
  </si>
  <si>
    <t xml:space="preserve">AISI H11 (UNS T20811)</t>
  </si>
  <si>
    <t xml:space="preserve">Hot-work tool steel</t>
  </si>
  <si>
    <t xml:space="preserve">Tempered martensite (BCC) + fine alloy carbides</t>
  </si>
  <si>
    <t xml:space="preserve">Secondary hardening by Mo/V/Cr carbides; resists softening to ≈600 °C; thermal-fatigue (heat-checking) governs life.</t>
  </si>
  <si>
    <t xml:space="preserve">AISI H13</t>
  </si>
  <si>
    <t xml:space="preserve">AISI H13 (UNS T20813)</t>
  </si>
  <si>
    <t xml:space="preserve">AISI M2</t>
  </si>
  <si>
    <t xml:space="preserve">AISI M2 (UNS T11302)</t>
  </si>
  <si>
    <t xml:space="preserve">High-speed tool steel</t>
  </si>
  <si>
    <t xml:space="preserve">ASTM A600</t>
  </si>
  <si>
    <t xml:space="preserve">Tempered martensite + MC / M6C / M2C carbides</t>
  </si>
  <si>
    <t xml:space="preserve">High carbide fraction gives red-hardness and wear resistance; multiple tempers needed to transform retained austenite.</t>
  </si>
  <si>
    <t xml:space="preserve">AISI M35</t>
  </si>
  <si>
    <t xml:space="preserve">AISI M35 (UNS T11335)</t>
  </si>
  <si>
    <t xml:space="preserve">M2 + ≈5% Co.</t>
  </si>
  <si>
    <t xml:space="preserve">AISI 52100 / 100Cr6</t>
  </si>
  <si>
    <t xml:space="preserve">SAE 52100 (UNS G52986). EN 100Cr6 (1.3505) is close, not identical</t>
  </si>
  <si>
    <t xml:space="preserve">Bearing steel</t>
  </si>
  <si>
    <t xml:space="preserve">ASTM A295/A295M; ISO 683-17 (bearing steels)</t>
  </si>
  <si>
    <t xml:space="preserve">Tempered martensite (BCC/BCT) + undissolved spheroidal (Fe,Cr)3C carbides + minor retained austenite</t>
  </si>
  <si>
    <t xml:space="preserve">Spheroidise-annealed before machining; hardened/tempered to ≈60–66 HRC. Cleanliness (oxide/sulphide inclusions) controls rolling-contact fatigue.</t>
  </si>
  <si>
    <t xml:space="preserve">Cleanliness grade (e.g. vacuum degassed) must be specified.</t>
  </si>
  <si>
    <t xml:space="preserve">SAE 5160</t>
  </si>
  <si>
    <t xml:space="preserve">SAE 5160 (UNS G51600)</t>
  </si>
  <si>
    <t xml:space="preserve">Spring steel</t>
  </si>
  <si>
    <t xml:space="preserve">ASTM A29/A29M; SAE J404</t>
  </si>
  <si>
    <t xml:space="preserve">Tempered martensite or fine pearlite (BCC + Fe3C)</t>
  </si>
  <si>
    <t xml:space="preserve">Oil-quenched and tempered to ≈42–52 HRC (typical practice); decarburisation and surface defects govern fatigue.</t>
  </si>
  <si>
    <t xml:space="preserve">SAE 9254</t>
  </si>
  <si>
    <t xml:space="preserve">SAE 9254 (UNS G92540)</t>
  </si>
  <si>
    <t xml:space="preserve">65Mn</t>
  </si>
  <si>
    <t xml:space="preserve">65Mn (China, GB/T)</t>
  </si>
  <si>
    <t xml:space="preserve">GB/T 1222 (China)</t>
  </si>
  <si>
    <t xml:space="preserve">Chinese designation; not an IS grade.</t>
  </si>
  <si>
    <t xml:space="preserve">IS 210 FG 150</t>
  </si>
  <si>
    <t xml:space="preserve">IS 210:2009 FG 150</t>
  </si>
  <si>
    <t xml:space="preserve">Gray cast iron</t>
  </si>
  <si>
    <t xml:space="preserve">IS 210</t>
  </si>
  <si>
    <t xml:space="preserve">Flake graphite (hexagonal) in ferritic/pearlitic BCC matrix</t>
  </si>
  <si>
    <t xml:space="preserve">Type A flakes preferred; flakes act as internal notches (low tensile strength/ductility, high damping and compressive strength). Section-size sensitive.</t>
  </si>
  <si>
    <t xml:space="preserve">Tensile strength on separately cast test bar (section sensitivity).</t>
  </si>
  <si>
    <t xml:space="preserve">IS 210 FG 200</t>
  </si>
  <si>
    <t xml:space="preserve">IS 210:2009 FG 200</t>
  </si>
  <si>
    <t xml:space="preserve">IS 210 FG 260</t>
  </si>
  <si>
    <t xml:space="preserve">IS 210:2009 FG 260</t>
  </si>
  <si>
    <t xml:space="preserve">EN-GJL-200</t>
  </si>
  <si>
    <t xml:space="preserve">EN-GJL-200 (EN 1561)</t>
  </si>
  <si>
    <t xml:space="preserve">EN 1561</t>
  </si>
  <si>
    <t xml:space="preserve">EN-GJL-250</t>
  </si>
  <si>
    <t xml:space="preserve">EN-GJL-250 (EN 1561)</t>
  </si>
  <si>
    <t xml:space="preserve">EN-GJS-400-15</t>
  </si>
  <si>
    <t xml:space="preserve">EN-GJS-400-15 (EN 1563)</t>
  </si>
  <si>
    <t xml:space="preserve">Ductile iron</t>
  </si>
  <si>
    <t xml:space="preserve">EN 1563</t>
  </si>
  <si>
    <t xml:space="preserve">Spheroidal graphite in ferritic/pearlitic matrix (BCC α + Fe3C)</t>
  </si>
  <si>
    <t xml:space="preserve">Nodularity (commonly ≥80–90% required) and matrix ferrite/pearlite ratio set properties; ferritic grades ductile, pearlitic stronger. Mg treatment and section size control quality.</t>
  </si>
  <si>
    <t xml:space="preserve">EN-GJS-500-7</t>
  </si>
  <si>
    <t xml:space="preserve">EN-GJS-500-7 (EN 1563)</t>
  </si>
  <si>
    <t xml:space="preserve">ASTM A536 65-45-12</t>
  </si>
  <si>
    <t xml:space="preserve">ASTM A536 Grade 65-45-12</t>
  </si>
  <si>
    <t xml:space="preserve">ASTM A536</t>
  </si>
  <si>
    <t xml:space="preserve">ASTM A48 Class 30</t>
  </si>
  <si>
    <t xml:space="preserve">ASTM A48/A48M Class 30</t>
  </si>
  <si>
    <t xml:space="preserve">ASTM A48/A48M</t>
  </si>
  <si>
    <t xml:space="preserve">Aluminium 1050</t>
  </si>
  <si>
    <t xml:space="preserve">AA 1050 (UNS A91050) + temper</t>
  </si>
  <si>
    <t xml:space="preserve">Aluminium alloy</t>
  </si>
  <si>
    <t xml:space="preserve">ASTM B209/B221 (wrought forms)</t>
  </si>
  <si>
    <t xml:space="preserve">FCC α-Al</t>
  </si>
  <si>
    <t xml:space="preserve">Non-heat-treatable: strength from cold work (H tempers) and solid solution (Mg in 5xxx). 5xxx with high Mg can sensitise (β-Al3Mg2) after long exposure above ≈65 °C.</t>
  </si>
  <si>
    <t xml:space="preserve">Temper required.</t>
  </si>
  <si>
    <t xml:space="preserve">Aluminium 1100</t>
  </si>
  <si>
    <t xml:space="preserve">AA 1100 (UNS A91100) + temper</t>
  </si>
  <si>
    <t xml:space="preserve">ASTM B209/B221</t>
  </si>
  <si>
    <t xml:space="preserve">Aluminium 2014-T6</t>
  </si>
  <si>
    <t xml:space="preserve">AA 2014-T6 (UNS A92014)</t>
  </si>
  <si>
    <t xml:space="preserve">Heat-treated aluminium</t>
  </si>
  <si>
    <t xml:space="preserve">ASTM B211/B247 (bar/forging); B221</t>
  </si>
  <si>
    <t xml:space="preserve">FCC α-Al matrix + precipitates (θ′ Al2Cu in 2xxx; β″/β′ Mg2Si in 6xxx; η′/η MgZn2 in 7xxx)</t>
  </si>
  <si>
    <t xml:space="preserve">Solution treat + age (T6): GP zones → coherent/semi-coherent precipitates. Grain-boundary precipitates/PFZ drive IGC &amp; SCC; recrystallised vs unrecrystallised grain structure affects anisotropy and toughness.</t>
  </si>
  <si>
    <t xml:space="preserve">Poor weldability, IGC/SCC sensitivity.</t>
  </si>
  <si>
    <t xml:space="preserve">Aluminium 2024-T3</t>
  </si>
  <si>
    <t xml:space="preserve">AA 2024-T3 (UNS A92024)</t>
  </si>
  <si>
    <t xml:space="preserve">ASTM B209</t>
  </si>
  <si>
    <t xml:space="preserve">Alclad sheet common; not fusion-weldable.</t>
  </si>
  <si>
    <t xml:space="preserve">Aluminium 3003-H14</t>
  </si>
  <si>
    <t xml:space="preserve">AA 3003-H14 (UNS A93003)</t>
  </si>
  <si>
    <t xml:space="preserve">Aluminium 5052-H32</t>
  </si>
  <si>
    <t xml:space="preserve">AA 5052-H32 (UNS A95052)</t>
  </si>
  <si>
    <t xml:space="preserve">Aluminium 5083-H111</t>
  </si>
  <si>
    <t xml:space="preserve">AA 5083-H111 (UNS A95083) — EN 485-2 temper</t>
  </si>
  <si>
    <t xml:space="preserve">ASTM B209; EN 485-2</t>
  </si>
  <si>
    <t xml:space="preserve">H111 is an EN-system temper; ASTM equivalent differs (e.g. H116/H321).</t>
  </si>
  <si>
    <t xml:space="preserve">Aluminium 6061-T6</t>
  </si>
  <si>
    <t xml:space="preserve">AA 6061-T6 (UNS A96061)</t>
  </si>
  <si>
    <t xml:space="preserve">ASTM B209/B221/B211</t>
  </si>
  <si>
    <t xml:space="preserve">Weld HAZ loses much of T6 strength.</t>
  </si>
  <si>
    <t xml:space="preserve">Aluminium 6063-T5</t>
  </si>
  <si>
    <t xml:space="preserve">AA 6063-T5 (UNS A96063)</t>
  </si>
  <si>
    <t xml:space="preserve">Aluminium extrusion</t>
  </si>
  <si>
    <t xml:space="preserve">ASTM B221</t>
  </si>
  <si>
    <t xml:space="preserve">Extrusion alloy.</t>
  </si>
  <si>
    <t xml:space="preserve">Aluminium 6063-T6</t>
  </si>
  <si>
    <t xml:space="preserve">AA 6063-T6 (UNS A96063)</t>
  </si>
  <si>
    <t xml:space="preserve">Aluminium 6082-T6</t>
  </si>
  <si>
    <t xml:space="preserve">EN AW-6082-T6 (UNS A96082)</t>
  </si>
  <si>
    <t xml:space="preserve">EN 485/755</t>
  </si>
  <si>
    <t xml:space="preserve">European structural 6xxx; not interchangeable with 6061 by default.</t>
  </si>
  <si>
    <t xml:space="preserve">Aluminium 7075-T6</t>
  </si>
  <si>
    <t xml:space="preserve">AA 7075-T6 (UNS A97075)</t>
  </si>
  <si>
    <t xml:space="preserve">High-strength aluminium</t>
  </si>
  <si>
    <t xml:space="preserve">ASTM B209/B211</t>
  </si>
  <si>
    <t xml:space="preserve">SCC-susceptible in short-transverse; not fusion-weldable.</t>
  </si>
  <si>
    <t xml:space="preserve">Aluminium A356-T6</t>
  </si>
  <si>
    <t xml:space="preserve">A356.0-T6 (UNS A13560)</t>
  </si>
  <si>
    <t xml:space="preserve">Cast aluminium</t>
  </si>
  <si>
    <t xml:space="preserve">ASTM B26/B26M (castings)</t>
  </si>
  <si>
    <t xml:space="preserve">FCC α-Al dendrites + eutectic Si (diamond cubic) + Fe/Mg intermetallics</t>
  </si>
  <si>
    <t xml:space="preserve">Dendrite arm spacing, Sr/Na modification of Si, porosity and Fe-intermetallics control strength/ductility/fatigue; die casting gives fine skin + porous core.</t>
  </si>
  <si>
    <t xml:space="preserve">Casting method and test-bar vs casting properties differ.</t>
  </si>
  <si>
    <t xml:space="preserve">Aluminium A380</t>
  </si>
  <si>
    <t xml:space="preserve">A380.0 die casting (UNS A03800)</t>
  </si>
  <si>
    <t xml:space="preserve">Die-cast aluminium</t>
  </si>
  <si>
    <t xml:space="preserve">ASTM B85/B85M</t>
  </si>
  <si>
    <t xml:space="preserve">Copper C10100</t>
  </si>
  <si>
    <t xml:space="preserve">UNS C10100 (OFE copper)</t>
  </si>
  <si>
    <t xml:space="preserve">Copper</t>
  </si>
  <si>
    <t xml:space="preserve">ASTM B152 / B187</t>
  </si>
  <si>
    <t xml:space="preserve">FCC Cu</t>
  </si>
  <si>
    <t xml:space="preserve">Single-phase FCC; annealing twins; strength set by cold work; oxygen-free (C10100) vs ETP (C11000, Cu2O particles — hydrogen embrittlement if annealed in H2).</t>
  </si>
  <si>
    <t xml:space="preserve">Copper C11000</t>
  </si>
  <si>
    <t xml:space="preserve">UNS C11000 (ETP copper)</t>
  </si>
  <si>
    <t xml:space="preserve">Brass C26000</t>
  </si>
  <si>
    <t xml:space="preserve">UNS C26000 (cartridge brass)</t>
  </si>
  <si>
    <t xml:space="preserve">Brass</t>
  </si>
  <si>
    <t xml:space="preserve">ASTM B36/B36M (plate/sheet)</t>
  </si>
  <si>
    <t xml:space="preserve">FCC α-brass (Cu-Zn solid solution)</t>
  </si>
  <si>
    <t xml:space="preserve">Single-phase α (Zn ≲35%); high cold-work response; season cracking (residual stress + ammonia) and dezincification risk in some waters.</t>
  </si>
  <si>
    <t xml:space="preserve">Temper (O/H) required.</t>
  </si>
  <si>
    <t xml:space="preserve">Brass C36000</t>
  </si>
  <si>
    <t xml:space="preserve">UNS C36000 (free-cutting brass)</t>
  </si>
  <si>
    <t xml:space="preserve">Free-machining brass</t>
  </si>
  <si>
    <t xml:space="preserve">ASTM B16/B16M (rod)</t>
  </si>
  <si>
    <t xml:space="preserve">FCC α + BCC β′ brass with Pb globules</t>
  </si>
  <si>
    <t xml:space="preserve">Two-phase α+β′ gives hot workability; Pb globules give free-cutting. Pb is restricted in some regulations (RoHS/REACH/drinking water).</t>
  </si>
  <si>
    <t xml:space="preserve">Leaded; regulatory restrictions in some uses.</t>
  </si>
  <si>
    <t xml:space="preserve">Bronze C51000</t>
  </si>
  <si>
    <t xml:space="preserve">UNS C51000 (phosphor bronze 5% A)</t>
  </si>
  <si>
    <t xml:space="preserve">Phosphor bronze</t>
  </si>
  <si>
    <t xml:space="preserve">ASTM B103/B139</t>
  </si>
  <si>
    <t xml:space="preserve">FCC α-Cu(Sn) solid solution (+ δ Cu31Sn8 / Pb globules in cast bearing bronze)</t>
  </si>
  <si>
    <t xml:space="preserve">Wrought phosphor bronze: cold-work + Sn strengthening. Cast leaded tin bronze: α dendrites + δ + Pb islands give embeddability/lubricity.</t>
  </si>
  <si>
    <t xml:space="preserve">Bronze C93200</t>
  </si>
  <si>
    <t xml:space="preserve">UNS C93200 (SAE 660 bearing bronze)</t>
  </si>
  <si>
    <t xml:space="preserve">Bearing bronze</t>
  </si>
  <si>
    <t xml:space="preserve">ASTM B584 (sand castings)</t>
  </si>
  <si>
    <t xml:space="preserve">Leaded.</t>
  </si>
  <si>
    <t xml:space="preserve">Aluminium bronze C95400</t>
  </si>
  <si>
    <t xml:space="preserve">UNS C95400 (aluminium bronze)</t>
  </si>
  <si>
    <t xml:space="preserve">Aluminium bronze</t>
  </si>
  <si>
    <t xml:space="preserve">ASTM B148</t>
  </si>
  <si>
    <t xml:space="preserve">FCC α-Cu(Al) + κ intermetallic phases (Fe/Ni/Al-rich)</t>
  </si>
  <si>
    <t xml:space="preserve">κ phases give strength/wear resistance and seawater resistance; slow cooling can cause dealuminification-prone phases.</t>
  </si>
  <si>
    <t xml:space="preserve">Manganese bronze C86300</t>
  </si>
  <si>
    <t xml:space="preserve">UNS C86300 (manganese bronze)</t>
  </si>
  <si>
    <t xml:space="preserve">Copper alloy</t>
  </si>
  <si>
    <t xml:space="preserve">ASTM B584</t>
  </si>
  <si>
    <t xml:space="preserve">FCC α + BCC β (high-strength brass)</t>
  </si>
  <si>
    <t xml:space="preserve">Two-phase brass strengthened by Mn/Al/Fe; good strength and marine use; dezincification/selective leaching must be considered.</t>
  </si>
  <si>
    <t xml:space="preserve">Titanium Grade 2</t>
  </si>
  <si>
    <t xml:space="preserve">Ti Grade 2 (UNS R50400)</t>
  </si>
  <si>
    <t xml:space="preserve">Commercially pure titanium</t>
  </si>
  <si>
    <t xml:space="preserve">ASTM B265/B348/B381</t>
  </si>
  <si>
    <t xml:space="preserve">HCP α-Ti</t>
  </si>
  <si>
    <t xml:space="preserve">Single-phase α; O/Fe interstitials control strength by grade (Gr 1–4). Twinning + prismatic slip; hydrogen pickup embrittles.</t>
  </si>
  <si>
    <t xml:space="preserve">Ti-6Al-4V Grade 5</t>
  </si>
  <si>
    <t xml:space="preserve">Ti-6Al-4V Grade 5 (UNS R56400); ELI = Grade 23 (R56407)</t>
  </si>
  <si>
    <t xml:space="preserve">Titanium alloy</t>
  </si>
  <si>
    <t xml:space="preserve">ASTM B265/B348/B381; F136 (ELI implant)</t>
  </si>
  <si>
    <t xml:space="preserve">HCP α + BCC β (two-phase)</t>
  </si>
  <si>
    <t xml:space="preserve">Equiaxed (mill-annealed) vs lamellar/Widmanstätten (β-processed) vs bimodal: trade-off between strength/ductility/fatigue initiation and fracture toughness/crack growth. β transus ≈995 °C (typical).</t>
  </si>
  <si>
    <t xml:space="preserve">Condition (annealed/STA/β-processed) required.</t>
  </si>
  <si>
    <t xml:space="preserve">Magnesium AZ31B</t>
  </si>
  <si>
    <t xml:space="preserve">AZ31B (UNS M11311)</t>
  </si>
  <si>
    <t xml:space="preserve">Magnesium alloy</t>
  </si>
  <si>
    <t xml:space="preserve">ASTM B90/B90M</t>
  </si>
  <si>
    <t xml:space="preserve">HCP α-Mg (+ β-Mg17Al12 in AZ91D)</t>
  </si>
  <si>
    <t xml:space="preserve">Limited RT slip systems (basal-dominant) → anisotropy and low RT formability; die-cast AZ91D has fine skin + porous core; poor creep &gt;≈120 °C.</t>
  </si>
  <si>
    <t xml:space="preserve">Flammability of fines/chips.</t>
  </si>
  <si>
    <t xml:space="preserve">Magnesium AZ91D</t>
  </si>
  <si>
    <t xml:space="preserve">AZ91D (UNS M11916)</t>
  </si>
  <si>
    <t xml:space="preserve">Cast magnesium</t>
  </si>
  <si>
    <t xml:space="preserve">ASTM B94</t>
  </si>
  <si>
    <t xml:space="preserve">Die-cast; creep limited.</t>
  </si>
  <si>
    <t xml:space="preserve">Inconel 600</t>
  </si>
  <si>
    <t xml:space="preserve">UNS N06600 (Inconel® 600 — trademark)</t>
  </si>
  <si>
    <t xml:space="preserve">Nickel alloy</t>
  </si>
  <si>
    <t xml:space="preserve">ASTM B166/B168</t>
  </si>
  <si>
    <t xml:space="preserve">FCC γ (single-phase, solid-solution strengthened)</t>
  </si>
  <si>
    <t xml:space="preserve">Single-phase FCC with twins; carbides at grain boundaries (e.g. in 600/625); strengthening from Mo/Nb/Cr/Fe in solution; sensitisation/precipitation (μ, P phases) on long exposure.</t>
  </si>
  <si>
    <t xml:space="preserve">Trade name → use UNS.</t>
  </si>
  <si>
    <t xml:space="preserve">Inconel 625</t>
  </si>
  <si>
    <t xml:space="preserve">UNS N06625 (Inconel® 625 — trademark)</t>
  </si>
  <si>
    <t xml:space="preserve">ASTM B443/B446</t>
  </si>
  <si>
    <t xml:space="preserve">Grade 1 (annealed) vs Grade 2 (solution annealed).</t>
  </si>
  <si>
    <t xml:space="preserve">Inconel 718</t>
  </si>
  <si>
    <t xml:space="preserve">UNS N07718 (Inconel® 718 — trademark)</t>
  </si>
  <si>
    <t xml:space="preserve">Precipitation-hardening nickel alloy</t>
  </si>
  <si>
    <t xml:space="preserve">ASTM B637; AMS aerospace specs</t>
  </si>
  <si>
    <t xml:space="preserve">FCC γ matrix + γ″ (Ni3Nb, BCT D0_22) + γ′ (Ni3(Al,Ti), L1_2) + δ (orthorhombic)</t>
  </si>
  <si>
    <t xml:space="preserve">Solution + double ageing precipitates γ″ (main strengthener, ≲650 °C service); δ-phase at grain boundaries controls grain size/notch behaviour; Laves phase from segregation.</t>
  </si>
  <si>
    <t xml:space="preserve">Heat-treat condition required.</t>
  </si>
  <si>
    <t xml:space="preserve">Monel 400</t>
  </si>
  <si>
    <t xml:space="preserve">UNS N04400 (Monel® 400 — trademark)</t>
  </si>
  <si>
    <t xml:space="preserve">Nickel-copper alloy</t>
  </si>
  <si>
    <t xml:space="preserve">ASTM B127/B164</t>
  </si>
  <si>
    <t xml:space="preserve">Hastelloy C-276</t>
  </si>
  <si>
    <t xml:space="preserve">UNS N10276 (Hastelloy® C-276 — trademark)</t>
  </si>
  <si>
    <t xml:space="preserve">ASTM B574/B575</t>
  </si>
  <si>
    <t xml:space="preserve">Zamak 3</t>
  </si>
  <si>
    <t xml:space="preserve">Zamak 3 = ASTM B86 alloy AG40A</t>
  </si>
  <si>
    <t xml:space="preserve">Zinc die-casting alloy</t>
  </si>
  <si>
    <t xml:space="preserve">ASTM B86 (zinc die casting alloys)</t>
  </si>
  <si>
    <t xml:space="preserve">HCP η-Zn (Zn-rich) + Al-rich (FCC) phase</t>
  </si>
  <si>
    <t xml:space="preserve">Die-cast fine-grained structure; creep and dimensional ageing at RT/elevated T; low melting point.</t>
  </si>
  <si>
    <t xml:space="preserve">Zamak 5</t>
  </si>
  <si>
    <t xml:space="preserve">Zamak 5 = ASTM B86 alloy AC41A</t>
  </si>
  <si>
    <t xml:space="preserve">ASTM B86</t>
  </si>
  <si>
    <t xml:space="preserve">Higher Cu than Zamak 3.</t>
  </si>
  <si>
    <t xml:space="preserve">PA6</t>
  </si>
  <si>
    <t xml:space="preserve">PA6 (nylon 6) — grade/filler/moisture state required</t>
  </si>
  <si>
    <t xml:space="preserve">Engineering polymer</t>
  </si>
  <si>
    <t xml:space="preserve">ASTM D4066 (nylon materials); manufacturer datasheet</t>
  </si>
  <si>
    <t xml:space="preserve">Semi-crystalline polymer: crystalline lamellae + amorphous regions (no metallic lattice)</t>
  </si>
  <si>
    <t xml:space="preserve">Crystallinity and spherulite size depend on cooling rate/nucleation; Tg and Tm define service limits; moisture (PA) and creep affect stiffness.</t>
  </si>
  <si>
    <t xml:space="preserve">Properties are datasheet/grade specific.</t>
  </si>
  <si>
    <t xml:space="preserve">PA66</t>
  </si>
  <si>
    <t xml:space="preserve">PA66 (nylon 66) — grade/filler/moisture state required</t>
  </si>
  <si>
    <t xml:space="preserve">ASTM D4066; datasheet</t>
  </si>
  <si>
    <t xml:space="preserve">POM-C</t>
  </si>
  <si>
    <t xml:space="preserve">POM-C (acetal copolymer)</t>
  </si>
  <si>
    <t xml:space="preserve">Acetal copolymer</t>
  </si>
  <si>
    <t xml:space="preserve">ASTM D6778 (POM materials); datasheet</t>
  </si>
  <si>
    <t xml:space="preserve">POM-H</t>
  </si>
  <si>
    <t xml:space="preserve">POM-H (acetal homopolymer)</t>
  </si>
  <si>
    <t xml:space="preserve">Acetal homopolymer</t>
  </si>
  <si>
    <t xml:space="preserve">ASTM D6778; datasheet</t>
  </si>
  <si>
    <t xml:space="preserve">PTFE</t>
  </si>
  <si>
    <t xml:space="preserve">Fluoropolymer</t>
  </si>
  <si>
    <t xml:space="preserve">ASTM D4894/D4895 (PTFE resins) — verify; datasheet</t>
  </si>
  <si>
    <t xml:space="preserve">Cold flow.</t>
  </si>
  <si>
    <t xml:space="preserve">PEEK</t>
  </si>
  <si>
    <t xml:space="preserve">PEEK (unfilled vs filled must be stated)</t>
  </si>
  <si>
    <t xml:space="preserve">High-performance polymer</t>
  </si>
  <si>
    <t xml:space="preserve">Manufacturer datasheet</t>
  </si>
  <si>
    <t xml:space="preserve">ABS</t>
  </si>
  <si>
    <t xml:space="preserve">ASTM D4673 (ABS) — verify; datasheet</t>
  </si>
  <si>
    <t xml:space="preserve">Amorphous polymer (no long-range order)</t>
  </si>
  <si>
    <t xml:space="preserve">Glassy below Tg; stress-cracking/solvent sensitivity; molecular orientation from moulding gives anisotropy.</t>
  </si>
  <si>
    <t xml:space="preserve">Polycarbonate (PC)</t>
  </si>
  <si>
    <t xml:space="preserve">ASTM D3935 (PC) — verify; datasheet</t>
  </si>
  <si>
    <t xml:space="preserve">UHMWPE</t>
  </si>
  <si>
    <t xml:space="preserve">ASTM D4020 (UHMWPE moulding/extrusion)</t>
  </si>
  <si>
    <t xml:space="preserve">HDPE</t>
  </si>
  <si>
    <t xml:space="preserve">Thermoplastic polymer</t>
  </si>
  <si>
    <t xml:space="preserve">ASTM D4976 (PE plastics) — verify; datasheet</t>
  </si>
  <si>
    <t xml:space="preserve">PVC-U</t>
  </si>
  <si>
    <t xml:space="preserve">ASTM D1784 (rigid PVC compounds) — verify</t>
  </si>
  <si>
    <t xml:space="preserve">TPU</t>
  </si>
  <si>
    <t xml:space="preserve">TPU (polyester vs polyether grade, Shore hardness required)</t>
  </si>
  <si>
    <t xml:space="preserve">Elastomeric polymer</t>
  </si>
  <si>
    <t xml:space="preserve">Segmented block elastomer: hard (crystalline) + soft domains</t>
  </si>
  <si>
    <t xml:space="preserve">Phase-separated hard/soft segments give elasticity, abrasion resistance; hydrolysis/temperature sensitivity depends on polyol type.</t>
  </si>
  <si>
    <t xml:space="preserve">Under-specified.</t>
  </si>
  <si>
    <t xml:space="preserve">PPS</t>
  </si>
  <si>
    <t xml:space="preserve">PET-P</t>
  </si>
  <si>
    <t xml:space="preserve">PET-P (ambiguous: semi-crystalline PET, unfilled?)</t>
  </si>
  <si>
    <t xml:space="preserve">Under-specified — Errors E08.</t>
  </si>
  <si>
    <t xml:space="preserve">Alumina (Al2O3)</t>
  </si>
  <si>
    <t xml:space="preserve">Alumina Al2O3 — purity (e.g. 96% / 99.5%) required</t>
  </si>
  <si>
    <t xml:space="preserve">Technical ceramic</t>
  </si>
  <si>
    <t xml:space="preserve">Manufacturer datasheet; test: ASTM C1161</t>
  </si>
  <si>
    <t xml:space="preserve">α-Al2O3 corundum (trigonal/hexagonal)</t>
  </si>
  <si>
    <t xml:space="preserve">Polycrystalline, grain size ≈1–10 µm typical; purity (96% vs 99.5%) and glassy grain-boundary phase affect strength/wear.</t>
  </si>
  <si>
    <t xml:space="preserve">Under-specified grade.</t>
  </si>
  <si>
    <t xml:space="preserve">Silicon carbide (SiC)</t>
  </si>
  <si>
    <t xml:space="preserve">SiC — sintered / reaction-bonded / hot-pressed required</t>
  </si>
  <si>
    <t xml:space="preserve">SiC polytypes: α (hexagonal, e.g. 6H) / β (cubic 3C)</t>
  </si>
  <si>
    <t xml:space="preserve">Sintered (SSiC) vs reaction-bonded (free Si) vs hot-pressed: different strength, corrosion and temperature limits.</t>
  </si>
  <si>
    <t xml:space="preserve">Zirconia (ZrO2)</t>
  </si>
  <si>
    <t xml:space="preserve">ZrO2 — stabiliser (Y-TZP / Mg-PSZ) required</t>
  </si>
  <si>
    <t xml:space="preserve">ISO 13356 (Y-TZP implants) for medical only; datasheet</t>
  </si>
  <si>
    <t xml:space="preserve">ZrO2: monoclinic (RT, unstabilised), tetragonal (Y-TZP, metastable), cubic</t>
  </si>
  <si>
    <t xml:space="preserve">Stabiliser (Y2O3, MgO, CeO2) controls t→m transformation toughening; low-temperature degradation (hydrothermal ageing) in Y-TZP.</t>
  </si>
  <si>
    <t xml:space="preserve">Silicon nitride (Si3N4)</t>
  </si>
  <si>
    <t xml:space="preserve">Si3N4 — sinter route required</t>
  </si>
  <si>
    <t xml:space="preserve">Si3N4: β (hexagonal) mainly, α (trigonal)</t>
  </si>
  <si>
    <t xml:space="preserve">Elongated β grains (self-reinforced) with glassy boundary phase give high toughness among ceramics; sinter route (GPS, HIP, SRBSN) sets properties.</t>
  </si>
  <si>
    <t xml:space="preserve">WC-Co cemented carbide</t>
  </si>
  <si>
    <t xml:space="preserve">WC-Co hardmetal — Co wt% &amp; WC grain size required</t>
  </si>
  <si>
    <t xml:space="preserve">Hardmetal</t>
  </si>
  <si>
    <t xml:space="preserve">ISO 513 classification; ASTM B311/B406/B294 test methods</t>
  </si>
  <si>
    <t xml:space="preserve">WC (hexagonal) grains + Co binder (FCC/HCP)</t>
  </si>
  <si>
    <t xml:space="preserve">Grain size (nano→coarse) and Co wt% set hardness–toughness trade-off; binder leaching in corrosive media.</t>
  </si>
  <si>
    <t xml:space="preserve">CBN</t>
  </si>
  <si>
    <t xml:space="preserve">CBN tool material (PCBN) — binder/CBN % required</t>
  </si>
  <si>
    <t xml:space="preserve">Cutting-tool material</t>
  </si>
  <si>
    <t xml:space="preserve">ISO 513 (classification of hard cutting materials)</t>
  </si>
  <si>
    <t xml:space="preserve">cBN (zinc-blende cubic) in ceramic/metal binder</t>
  </si>
  <si>
    <t xml:space="preserve">Polycrystalline CBN compact; binder type (TiN/ceramic vs metallic) sets toughness/thermal stability.</t>
  </si>
  <si>
    <t xml:space="preserve">Not a standardised material.</t>
  </si>
  <si>
    <t xml:space="preserve">PCD</t>
  </si>
  <si>
    <t xml:space="preserve">PCD tool material — diamond grain size required</t>
  </si>
  <si>
    <t xml:space="preserve">ISO 513</t>
  </si>
  <si>
    <t xml:space="preserve">Diamond cubic grains sintered with Co binder</t>
  </si>
  <si>
    <t xml:space="preserve">Sintered diamond compact on WC substrate; graphitises/oxidises at elevated T; unsuitable for machining ferrous metals (carbon diffusion).</t>
  </si>
  <si>
    <t xml:space="preserve">CFRP</t>
  </si>
  <si>
    <t xml:space="preserve">CFRP — fibre, matrix, layup, Vf required</t>
  </si>
  <si>
    <t xml:space="preserve">Fibre composite</t>
  </si>
  <si>
    <t xml:space="preserve">Test: ASTM D3039/D7264/D2344; material per prepreg datasheet</t>
  </si>
  <si>
    <t xml:space="preserve">Composite: fibre (carbon: turbostratic graphitic; glass: amorphous; aramid: oriented polymer) in polymer matrix</t>
  </si>
  <si>
    <t xml:space="preserve">Anisotropic laminate; properties depend on layup, fibre volume fraction, voids and cure; matrix Tg limits temperature.</t>
  </si>
  <si>
    <t xml:space="preserve">Class of materials, not a grade — Errors E08.</t>
  </si>
  <si>
    <t xml:space="preserve">GFRP</t>
  </si>
  <si>
    <t xml:space="preserve">GFRP — glass type, matrix, layup required</t>
  </si>
  <si>
    <t xml:space="preserve">Test: ASTM D3039/D7264</t>
  </si>
  <si>
    <t xml:space="preserve">Class of materials.</t>
  </si>
  <si>
    <t xml:space="preserve">Aramid-fibre composite</t>
  </si>
  <si>
    <t xml:space="preserve">Aramid-fibre composite — fibre, matrix, layup required</t>
  </si>
  <si>
    <t xml:space="preserve">Datasheet</t>
  </si>
  <si>
    <t xml:space="preserve">NiTi / Nitinol</t>
  </si>
  <si>
    <t xml:space="preserve">NiTi (Nitinol®): ASTM F2063 (medical wrought)</t>
  </si>
  <si>
    <t xml:space="preserve">Shape-memory alloy</t>
  </si>
  <si>
    <t xml:space="preserve">ASTM F2063; F2004 (transformation temp.)</t>
  </si>
  <si>
    <t xml:space="preserve">NiTi: B2 cubic austenite ↔ B19′ monoclinic martensite</t>
  </si>
  <si>
    <t xml:space="preserve">Transformation temperatures (Af, Ms) very sensitive to composition (≈±0.1 at% Ni) and thermomechanical history; superelastic vs shape-memory behaviour.</t>
  </si>
  <si>
    <t xml:space="preserve">Af must be stated.</t>
  </si>
  <si>
    <t xml:space="preserve">CuBe</t>
  </si>
  <si>
    <t xml:space="preserve">Beryllium copper UNS C17200 (≈1.8–2.0% Be); low-Be C17510 also exists</t>
  </si>
  <si>
    <t xml:space="preserve">Beryllium copper</t>
  </si>
  <si>
    <t xml:space="preserve">ASTM B196/B194</t>
  </si>
  <si>
    <t xml:space="preserve">FCC Cu matrix + γ″/γ′ CuBe precipitates after ageing</t>
  </si>
  <si>
    <t xml:space="preserve">Solution anneal + age (e.g. AT/TH condition) gives very high strength with good conductivity; Be dust/fume is a serious health hazard.</t>
  </si>
  <si>
    <t xml:space="preserve">Underspecified in list; Be hazard.</t>
  </si>
  <si>
    <t xml:space="preserve">Cobalt-chromium alloy</t>
  </si>
  <si>
    <t xml:space="preserve">UNDERSPECIFIED: ASTM F75 (cast CoCrMo) / F1537 (wrought CoCrMo) / F90 (L-605) / Stellite</t>
  </si>
  <si>
    <t xml:space="preserve">Special alloy</t>
  </si>
  <si>
    <t xml:space="preserve">ASTM F75/F1537/F90</t>
  </si>
  <si>
    <t xml:space="preserve">Mixed FCC (γ) / HCP (ε) Co-Cr matrix + M23C6 carbides (grade/process dependent)</t>
  </si>
  <si>
    <t xml:space="preserve">Cast vs wrought vs AM structures differ markedly; strain-induced γ→ε transformation affects wear and fatigue.</t>
  </si>
  <si>
    <t xml:space="preserve">Cannot assign properties without exact grade — Errors E08.</t>
  </si>
  <si>
    <t xml:space="preserve">Invar 36</t>
  </si>
  <si>
    <t xml:space="preserve">Invar 36 (UNS K93600)</t>
  </si>
  <si>
    <t xml:space="preserve">Low-expansion alloy</t>
  </si>
  <si>
    <t xml:space="preserve">ASTM F1684</t>
  </si>
  <si>
    <t xml:space="preserve">FCC γ Fe-Ni (≈36% Ni)</t>
  </si>
  <si>
    <t xml:space="preserve">Low CTE from magnetovolume effect below Curie point; cold work and temperature raise CTE; dimensional drift (creep/ageing) needs stabilising anneal.</t>
  </si>
  <si>
    <t xml:space="preserve">Kovar</t>
  </si>
  <si>
    <t xml:space="preserve">Kovar (UNS K94610)</t>
  </si>
  <si>
    <t xml:space="preserve">Controlled-expansion alloy</t>
  </si>
  <si>
    <t xml:space="preserve">ASTM F15</t>
  </si>
  <si>
    <t xml:space="preserve">FCC γ Fe-Ni-Co</t>
  </si>
  <si>
    <t xml:space="preserve">Chemistry tuned so CTE matches borosilicate glass/ceramics; hydrogen-anneal and oxide layer needed for sealing.</t>
  </si>
  <si>
    <t xml:space="preserve">Molybdenum</t>
  </si>
  <si>
    <t xml:space="preserve">Molybdenum (unalloyed)</t>
  </si>
  <si>
    <t xml:space="preserve">Refractory metal</t>
  </si>
  <si>
    <t xml:space="preserve">ASTM B386 (Mo mill products)</t>
  </si>
  <si>
    <t xml:space="preserve">BCC (W, Mo)</t>
  </si>
  <si>
    <t xml:space="preserve">Powder-metallurgy/worked structures; ductile-to-brittle transition near/above RT; oxidise rapidly in air at high T (Mo → volatile MoO3).</t>
  </si>
  <si>
    <t xml:space="preserve">Tungsten</t>
  </si>
  <si>
    <t xml:space="preserve">Tungsten (unalloyed)</t>
  </si>
  <si>
    <t xml:space="preserve">ASTM B760 (plate/sheet)</t>
  </si>
  <si>
    <t xml:space="preserve">Graphite</t>
  </si>
  <si>
    <t xml:space="preserve">UNDERSPECIFIED: graphite — isostatic/extruded/moulded grade required</t>
  </si>
  <si>
    <t xml:space="preserve">Carbon material</t>
  </si>
  <si>
    <t xml:space="preserve">Hexagonal graphite (sp² layers) in polycrystalline filler/binder carbon</t>
  </si>
  <si>
    <t xml:space="preserve">Grain size/porosity/anisotropy depend on forming route (isostatic vs extruded vs moulded); oxidises in air above ≈400–500 °C.</t>
  </si>
  <si>
    <t xml:space="preserve">Properties vary several-fold between grades.</t>
  </si>
  <si>
    <t xml:space="preserve">Hadfield manganese steel</t>
  </si>
  <si>
    <t xml:space="preserve">Austenitic manganese steel — ASTM A128/A128M Grade A–F</t>
  </si>
  <si>
    <t xml:space="preserve">Austenitic manganese steel</t>
  </si>
  <si>
    <t xml:space="preserve">ASTM A128/A128M; Indian equivalent not verified</t>
  </si>
  <si>
    <t xml:space="preserve">FCC austenite (≈11–14% Mn, ≈1.0–1.4% C) + carbides in as-cast</t>
  </si>
  <si>
    <t xml:space="preserve">Water-toughening dissolves carbides; strain-induced twinning/work-hardening raises surface hardness under impact; poor at low impact or with carbide networks.</t>
  </si>
  <si>
    <t xml:space="preserve">Grade/composition required.</t>
  </si>
  <si>
    <t xml:space="preserve">Hardox 400</t>
  </si>
  <si>
    <t xml:space="preserve">Hardox® 400 (SSAB proprietary brand)</t>
  </si>
  <si>
    <t xml:space="preserve">Wear-resistant steel plate</t>
  </si>
  <si>
    <t xml:space="preserve">SSAB datasheet (no public product standard)</t>
  </si>
  <si>
    <t xml:space="preserve">Martensite/bainite (quenched or Q&amp;T) — BCC/BCT</t>
  </si>
  <si>
    <t xml:space="preserve">Wear plate hardness from fine martensitic structure; welding heat input/preheat limits and HAZ softening matter; bend radius limits apply.</t>
  </si>
  <si>
    <t xml:space="preserve">Property guarantees come from manufacturer.</t>
  </si>
  <si>
    <t xml:space="preserve">Hardox 450</t>
  </si>
  <si>
    <t xml:space="preserve">Hardox® 450 (SSAB proprietary brand)</t>
  </si>
  <si>
    <t xml:space="preserve">SSAB datasheet</t>
  </si>
  <si>
    <t xml:space="preserve">As Hardox 400.</t>
  </si>
  <si>
    <t xml:space="preserve">Reviewer-suggested gap list — NOT in the upload and NOT counted in coverage</t>
  </si>
  <si>
    <t xml:space="preserve">G1</t>
  </si>
  <si>
    <t xml:space="preserve">904L (UNS N08904)</t>
  </si>
  <si>
    <t xml:space="preserve">UNS N08904</t>
  </si>
  <si>
    <t xml:space="preserve">Super-austenitic stainless</t>
  </si>
  <si>
    <t xml:space="preserve">ASTM A240</t>
  </si>
  <si>
    <t xml:space="preserve">Not applicable (gap list)</t>
  </si>
  <si>
    <t xml:space="preserve">Pitting/chloride service.</t>
  </si>
  <si>
    <t xml:space="preserve">G2</t>
  </si>
  <si>
    <t xml:space="preserve">2507 super duplex (UNS S32750)</t>
  </si>
  <si>
    <t xml:space="preserve">UNS S32750</t>
  </si>
  <si>
    <t xml:space="preserve">Super-duplex stainless</t>
  </si>
  <si>
    <t xml:space="preserve">Higher PREN than 2205.</t>
  </si>
  <si>
    <t xml:space="preserve">G3</t>
  </si>
  <si>
    <t xml:space="preserve">15-5 PH (UNS S15500)</t>
  </si>
  <si>
    <t xml:space="preserve">UNS S15500</t>
  </si>
  <si>
    <t xml:space="preserve">PH stainless</t>
  </si>
  <si>
    <t xml:space="preserve">ASTM A564</t>
  </si>
  <si>
    <t xml:space="preserve">Better transverse toughness than 17-4.</t>
  </si>
  <si>
    <t xml:space="preserve">G4</t>
  </si>
  <si>
    <t xml:space="preserve">Maraging steel (18Ni 250/300)</t>
  </si>
  <si>
    <t xml:space="preserve">Grade 250/300</t>
  </si>
  <si>
    <t xml:space="preserve">Ultra-high-strength steel</t>
  </si>
  <si>
    <t xml:space="preserve">AMS/ASTM A579 (verify)</t>
  </si>
  <si>
    <t xml:space="preserve">Tools/aerospace shafts.</t>
  </si>
  <si>
    <t xml:space="preserve">G5</t>
  </si>
  <si>
    <t xml:space="preserve">IS 1570 / IS 5517 Indian wrought steels (e.g. 45C8, 40Cr1…)</t>
  </si>
  <si>
    <t xml:space="preserve">IS 1570 series</t>
  </si>
  <si>
    <t xml:space="preserve">Indian carbon &amp; alloy steels</t>
  </si>
  <si>
    <t xml:space="preserve">IS 1570, IS 5517 (verify)</t>
  </si>
  <si>
    <t xml:space="preserve">Needed for India-native procurement.</t>
  </si>
  <si>
    <t xml:space="preserve">G6</t>
  </si>
  <si>
    <t xml:space="preserve">S355 (EN 10025-2) / S690QL (EN 10025-6)</t>
  </si>
  <si>
    <t xml:space="preserve">EN 10025</t>
  </si>
  <si>
    <t xml:space="preserve">EN 10025-2/-6</t>
  </si>
  <si>
    <t xml:space="preserve">Common EU structural grades.</t>
  </si>
  <si>
    <t xml:space="preserve">G7</t>
  </si>
  <si>
    <t xml:space="preserve">AlSi10Mg (L-PBF)</t>
  </si>
  <si>
    <t xml:space="preserve">ASTM F3318</t>
  </si>
  <si>
    <t xml:space="preserve">AM aluminium</t>
  </si>
  <si>
    <t xml:space="preserve">ASTM F3318 (verify)</t>
  </si>
  <si>
    <t xml:space="preserve">Depends on alloy; AM structures are non-equilibrium (columnar grains along build direction, fine cellular microstructure)</t>
  </si>
  <si>
    <t xml:space="preserve">Anisotropy, porosity/lack-of-fusion, residual stress and surface roughness control performance; HIP/stress-relief commonly needed.</t>
  </si>
  <si>
    <t xml:space="preserve">Heat-treat/HIP state required.</t>
  </si>
  <si>
    <t xml:space="preserve">G8</t>
  </si>
  <si>
    <t xml:space="preserve">316L (L-PBF)</t>
  </si>
  <si>
    <t xml:space="preserve">ASTM F3184</t>
  </si>
  <si>
    <t xml:space="preserve">AM stainless</t>
  </si>
  <si>
    <t xml:space="preserve">ASTM F3184 (verify)</t>
  </si>
  <si>
    <t xml:space="preserve">G9</t>
  </si>
  <si>
    <t xml:space="preserve">Ti-6Al-4V / ELI (L-PBF)</t>
  </si>
  <si>
    <t xml:space="preserve">ASTM F2924/F3001</t>
  </si>
  <si>
    <t xml:space="preserve">AM titanium</t>
  </si>
  <si>
    <t xml:space="preserve">ASTM F2924, F3001 (verify)</t>
  </si>
  <si>
    <t xml:space="preserve">HIP common for fatigue-critical.</t>
  </si>
  <si>
    <t xml:space="preserve">G10</t>
  </si>
  <si>
    <t xml:space="preserve">Inconel 718 (L-PBF)</t>
  </si>
  <si>
    <t xml:space="preserve">ASTM F3055</t>
  </si>
  <si>
    <t xml:space="preserve">AM nickel superalloy</t>
  </si>
  <si>
    <t xml:space="preserve">ASTM F3055 (verify)</t>
  </si>
  <si>
    <t xml:space="preserve">G11</t>
  </si>
  <si>
    <t xml:space="preserve">Scalmalloy® (Al-Mg-Sc)</t>
  </si>
  <si>
    <t xml:space="preserve">Proprietary</t>
  </si>
  <si>
    <t xml:space="preserve">AM aluminium (proprietary)</t>
  </si>
  <si>
    <t xml:space="preserve">Manufacturer</t>
  </si>
  <si>
    <t xml:space="preserve">G12</t>
  </si>
  <si>
    <t xml:space="preserve">CuCrZr (UNS C18150)</t>
  </si>
  <si>
    <t xml:space="preserve">UNS C18150</t>
  </si>
  <si>
    <t xml:space="preserve">ASTM B (verify)</t>
  </si>
  <si>
    <t xml:space="preserve">Resistance-welding electrodes, heat sinks.</t>
  </si>
  <si>
    <t xml:space="preserve">G13</t>
  </si>
  <si>
    <t xml:space="preserve">Austempered ductile iron (ADI)</t>
  </si>
  <si>
    <t xml:space="preserve">ASTM A897</t>
  </si>
  <si>
    <t xml:space="preserve">Cast iron</t>
  </si>
  <si>
    <t xml:space="preserve">ASTM A897 (verify)</t>
  </si>
  <si>
    <t xml:space="preserve">Gear/wear parts.</t>
  </si>
  <si>
    <t xml:space="preserve">G14</t>
  </si>
  <si>
    <t xml:space="preserve">Cast steel (IS 1030 / ASTM A27)</t>
  </si>
  <si>
    <t xml:space="preserve">IS 1030 / A27</t>
  </si>
  <si>
    <t xml:space="preserve">Cast steel</t>
  </si>
  <si>
    <t xml:space="preserve">IS 1030, ASTM A27 (verify)</t>
  </si>
  <si>
    <t xml:space="preserve">Cast structural parts.</t>
  </si>
  <si>
    <t xml:space="preserve">G15</t>
  </si>
  <si>
    <t xml:space="preserve">PA12 / PA11 (powder-bed fusion)</t>
  </si>
  <si>
    <t xml:space="preserve">AM polymer</t>
  </si>
  <si>
    <t xml:space="preserve">Robot enclosures/gears.</t>
  </si>
  <si>
    <t xml:space="preserve">G16</t>
  </si>
  <si>
    <t xml:space="preserve">Weathering steel (ASTM A588)</t>
  </si>
  <si>
    <t xml:space="preserve">ASTM A588</t>
  </si>
  <si>
    <t xml:space="preserve">HSLA steel</t>
  </si>
  <si>
    <t xml:space="preserve">ASTM A588 (verify)</t>
  </si>
  <si>
    <t xml:space="preserve">Atmospheric corrosion.</t>
  </si>
  <si>
    <t xml:space="preserve">Sheet 3 — Material Properties (one row per grade / condition / product form)</t>
  </si>
  <si>
    <t xml:space="preserve">Blue = sourced value (recalled, see Sources); grey = Excel formula; no values were invented for blank cells. All RT unless stated.</t>
  </si>
  <si>
    <t xml:space="preserve">Prop ID</t>
  </si>
  <si>
    <t xml:space="preserve">Master No.</t>
  </si>
  <si>
    <t xml:space="preserve">Designation</t>
  </si>
  <si>
    <t xml:space="preserve">Condition / product form</t>
  </si>
  <si>
    <t xml:space="preserve">Value basis</t>
  </si>
  <si>
    <t xml:space="preserve">Density ρ (kg/m³)</t>
  </si>
  <si>
    <t xml:space="preserve">Density (g/cm³) [calc]</t>
  </si>
  <si>
    <t xml:space="preserve">Young's modulus E (GPa)</t>
  </si>
  <si>
    <t xml:space="preserve">Poisson ν</t>
  </si>
  <si>
    <t xml:space="preserve">Shear modulus G (GPa) [derived, isotropic]</t>
  </si>
  <si>
    <t xml:space="preserve">Yield / proof strength (MPa)</t>
  </si>
  <si>
    <t xml:space="preserve">Ultimate tensile strength (MPa)</t>
  </si>
  <si>
    <t xml:space="preserve">Flexural strength (MPa)</t>
  </si>
  <si>
    <t xml:space="preserve">Elongation at fracture (%)</t>
  </si>
  <si>
    <t xml:space="preserve">Hardness (as stated)</t>
  </si>
  <si>
    <t xml:space="preserve">Thermal conductivity k (W/(m·K))</t>
  </si>
  <si>
    <t xml:space="preserve">CTE (µm/(m·K))</t>
  </si>
  <si>
    <t xml:space="preserve">Electrical resistivity (Ω·m)</t>
  </si>
  <si>
    <t xml:space="preserve">Strength used [calc]</t>
  </si>
  <si>
    <t xml:space="preserve">Specific strength (kN·m/kg) [calc]</t>
  </si>
  <si>
    <t xml:space="preserve">Specific stiffness (MN·m/kg) [calc]</t>
  </si>
  <si>
    <t xml:space="preserve">Impact / fatigue / KIC / other</t>
  </si>
  <si>
    <t xml:space="preserve">Test temperature</t>
  </si>
  <si>
    <t xml:space="preserve">Source class</t>
  </si>
  <si>
    <t xml:space="preserve">Confidence</t>
  </si>
  <si>
    <t xml:space="preserve">Verification status</t>
  </si>
  <si>
    <t xml:space="preserve">Limitations / notes</t>
  </si>
  <si>
    <t xml:space="preserve">P01</t>
  </si>
  <si>
    <t xml:space="preserve">Cold-drawn bar</t>
  </si>
  <si>
    <t xml:space="preserve">Typical</t>
  </si>
  <si>
    <t xml:space="preserve">≈126 HBW (handbook)</t>
  </si>
  <si>
    <t xml:space="preserve">RT</t>
  </si>
  <si>
    <t xml:space="preserve">Handbook typical (ASM/MatWeb-type); recalled, not re-fetched</t>
  </si>
  <si>
    <t xml:space="preserve">Medium</t>
  </si>
  <si>
    <t xml:space="preserve">Hot-rolled condition is lower strength; MatWeb-type values.</t>
  </si>
  <si>
    <t xml:space="preserve">P02</t>
  </si>
  <si>
    <t xml:space="preserve">AISI 1045</t>
  </si>
  <si>
    <t xml:space="preserve">Hot-rolled bar</t>
  </si>
  <si>
    <t xml:space="preserve">≈163 HBW</t>
  </si>
  <si>
    <t xml:space="preserve">Cold-drawn and Q&amp;T conditions differ strongly.</t>
  </si>
  <si>
    <t xml:space="preserve">P03</t>
  </si>
  <si>
    <t xml:space="preserve">Plate/shapes (specified)</t>
  </si>
  <si>
    <t xml:space="preserve">Specified minimum</t>
  </si>
  <si>
    <t xml:space="preserve">n/a</t>
  </si>
  <si>
    <t xml:space="preserve">UTS spec range 400–550; elong. 20% (200 mm GL) / 23% (50 mm GL)</t>
  </si>
  <si>
    <t xml:space="preserve">Product-standard value; recalled, standard text not re-read</t>
  </si>
  <si>
    <t xml:space="preserve">Minimum values; ρ, E, k, CTE are generic carbon-steel handbook values.</t>
  </si>
  <si>
    <t xml:space="preserve">P04</t>
  </si>
  <si>
    <t xml:space="preserve">Plate/section ≤20 mm, quality designation A (verify)</t>
  </si>
  <si>
    <t xml:space="preserve">Yield minimum drops with thickness; ρ and E are generic carbon-steel values, not IS 2062-specific.</t>
  </si>
  <si>
    <t xml:space="preserve">P05</t>
  </si>
  <si>
    <t xml:space="preserve">Plate/section ≤20 mm (verify)</t>
  </si>
  <si>
    <t xml:space="preserve">As E250; confirm thickness bands in standard.</t>
  </si>
  <si>
    <t xml:space="preserve">P06</t>
  </si>
  <si>
    <t xml:space="preserve">ASTM A572 Gr 50</t>
  </si>
  <si>
    <t xml:space="preserve">Plate (specified)</t>
  </si>
  <si>
    <t xml:space="preserve">Elong. 18% (200 mm GL) / 21% (50 mm GL)</t>
  </si>
  <si>
    <t xml:space="preserve">Minimum values.</t>
  </si>
  <si>
    <t xml:space="preserve">P07</t>
  </si>
  <si>
    <t xml:space="preserve">Normalised 870 °C</t>
  </si>
  <si>
    <t xml:space="preserve">≈197 HBW</t>
  </si>
  <si>
    <t xml:space="preserve">Strongly condition-dependent (Q&amp;T gives far higher strength).</t>
  </si>
  <si>
    <t xml:space="preserve">P08</t>
  </si>
  <si>
    <t xml:space="preserve">AISI 4140</t>
  </si>
  <si>
    <t xml:space="preserve">Annealed 815 °C, furnace-cooled</t>
  </si>
  <si>
    <t xml:space="preserve">P09</t>
  </si>
  <si>
    <t xml:space="preserve">Q&amp;T (oil quench, ≈650 °C temper)</t>
  </si>
  <si>
    <t xml:space="preserve">≈220–235 HBW</t>
  </si>
  <si>
    <t xml:space="preserve">Lower tempering temperature → much higher strength, lower toughness</t>
  </si>
  <si>
    <t xml:space="preserve">Low</t>
  </si>
  <si>
    <t xml:space="preserve">Single tempering point only; use heat-treat curves for design.</t>
  </si>
  <si>
    <t xml:space="preserve">P10</t>
  </si>
  <si>
    <t xml:space="preserve">Annealed</t>
  </si>
  <si>
    <t xml:space="preserve">≈217 HBW</t>
  </si>
  <si>
    <t xml:space="preserve">Q&amp;T 4340 reaches &gt;1000 MPa UTS — not recorded here.</t>
  </si>
  <si>
    <t xml:space="preserve">P11</t>
  </si>
  <si>
    <t xml:space="preserve">Normalised 925 °C (uncarburised core)</t>
  </si>
  <si>
    <t xml:space="preserve">≈183 HBW (core)</t>
  </si>
  <si>
    <t xml:space="preserve">Carburised case typically ≈58–62 HRC (process result, not base property)</t>
  </si>
  <si>
    <t xml:space="preserve">P12</t>
  </si>
  <si>
    <t xml:space="preserve">AISI 52100</t>
  </si>
  <si>
    <t xml:space="preserve">Hardened &amp; tempered (≈150–180 °C)</t>
  </si>
  <si>
    <t xml:space="preserve">≈60–66 HRC (bearing practice)</t>
  </si>
  <si>
    <t xml:space="preserve">Rolling-contact fatigue life depends on cleanliness</t>
  </si>
  <si>
    <t xml:space="preserve">Strength not recorded (hardness is the control parameter).</t>
  </si>
  <si>
    <t xml:space="preserve">P13</t>
  </si>
  <si>
    <t xml:space="preserve">SS 304 (A240 Type 304)</t>
  </si>
  <si>
    <t xml:space="preserve">Annealed plate/sheet (specified)</t>
  </si>
  <si>
    <t xml:space="preserve">≤201 HBW / ≤92 HRB (A240 max)</t>
  </si>
  <si>
    <t xml:space="preserve">k at 100 °C, CTE 0–100 °C. Typical YS ≈215–290 MPa.</t>
  </si>
  <si>
    <t xml:space="preserve">P14</t>
  </si>
  <si>
    <t xml:space="preserve">SS 316L (A240 Type 316L)</t>
  </si>
  <si>
    <t xml:space="preserve">≤217 HBW / ≤95 HRB (A240 max)</t>
  </si>
  <si>
    <t xml:space="preserve">P15</t>
  </si>
  <si>
    <t xml:space="preserve">Duplex 2205 (UNS S32205)</t>
  </si>
  <si>
    <t xml:space="preserve">Annealed plate (specified)</t>
  </si>
  <si>
    <t xml:space="preserve">≤293 HBW / ≤31 HRC (A240 max)</t>
  </si>
  <si>
    <t xml:space="preserve">Service temperature typically limited (≈≤250–300 °C) because of 475 °C embrittlement.</t>
  </si>
  <si>
    <t xml:space="preserve">P16</t>
  </si>
  <si>
    <t xml:space="preserve">17-4 PH (UNS S17400)</t>
  </si>
  <si>
    <t xml:space="preserve">Condition H1025 (A564 min)</t>
  </si>
  <si>
    <t xml:space="preserve">≥35 HRC</t>
  </si>
  <si>
    <t xml:space="preserve">H900 is higher strength/lower toughness; H1150 lower strength/higher toughness.</t>
  </si>
  <si>
    <t xml:space="preserve">P17</t>
  </si>
  <si>
    <t xml:space="preserve">SS 430 (A240 Type 430)</t>
  </si>
  <si>
    <t xml:space="preserve">≤183 HBW (A240 max)</t>
  </si>
  <si>
    <t xml:space="preserve">P18</t>
  </si>
  <si>
    <t xml:space="preserve">Hardened &amp; tempered ≈150–315 °C</t>
  </si>
  <si>
    <t xml:space="preserve">≈57–60 HRC</t>
  </si>
  <si>
    <t xml:space="preserve">Hardness-only record.</t>
  </si>
  <si>
    <t xml:space="preserve">P19</t>
  </si>
  <si>
    <t xml:space="preserve">Hardened &amp; tempered (working hardness)</t>
  </si>
  <si>
    <t xml:space="preserve">≈58–62 HRC</t>
  </si>
  <si>
    <t xml:space="preserve">Hardness depends on tempering temperature.</t>
  </si>
  <si>
    <t xml:space="preserve">P20</t>
  </si>
  <si>
    <t xml:space="preserve">Hardened &amp; tempered (hot-work practice)</t>
  </si>
  <si>
    <t xml:space="preserve">≈44–52 HRC</t>
  </si>
  <si>
    <t xml:space="preserve">P21</t>
  </si>
  <si>
    <t xml:space="preserve">Hardened &amp; tempered</t>
  </si>
  <si>
    <t xml:space="preserve">≈62–65 HRC</t>
  </si>
  <si>
    <t xml:space="preserve">P22</t>
  </si>
  <si>
    <t xml:space="preserve">≈57–62 HRC</t>
  </si>
  <si>
    <t xml:space="preserve">P23</t>
  </si>
  <si>
    <t xml:space="preserve">P24</t>
  </si>
  <si>
    <t xml:space="preserve">Separately cast test bar (specified)</t>
  </si>
  <si>
    <t xml:space="preserve">casting-section dependent</t>
  </si>
  <si>
    <t xml:space="preserve">No distinct yield; brittle (&lt;1% elong.); compressive strength ≈3–4× tensile</t>
  </si>
  <si>
    <t xml:space="preserve">ρ, E approximate class-range midpoints; E depends on stress level.</t>
  </si>
  <si>
    <t xml:space="preserve">P25</t>
  </si>
  <si>
    <t xml:space="preserve">≈150–220 HBW (typical)</t>
  </si>
  <si>
    <t xml:space="preserve">Damping high vs steel</t>
  </si>
  <si>
    <t xml:space="preserve">As FG 150.</t>
  </si>
  <si>
    <t xml:space="preserve">P26</t>
  </si>
  <si>
    <t xml:space="preserve">P27</t>
  </si>
  <si>
    <t xml:space="preserve">Separately cast bar (specified min)</t>
  </si>
  <si>
    <t xml:space="preserve">informative only</t>
  </si>
  <si>
    <t xml:space="preserve">EN 1561 gives Rm range; E approximate.</t>
  </si>
  <si>
    <t xml:space="preserve">P28</t>
  </si>
  <si>
    <t xml:space="preserve">P29</t>
  </si>
  <si>
    <t xml:space="preserve">Separately cast bar (specified)</t>
  </si>
  <si>
    <t xml:space="preserve">30 ksi min tensile</t>
  </si>
  <si>
    <t xml:space="preserve">E approximate class-range midpoint.</t>
  </si>
  <si>
    <t xml:space="preserve">P30</t>
  </si>
  <si>
    <t xml:space="preserve">≈135–180 HBW (informative)</t>
  </si>
  <si>
    <t xml:space="preserve">Rp0.2 / Rm / A minima.</t>
  </si>
  <si>
    <t xml:space="preserve">P31</t>
  </si>
  <si>
    <t xml:space="preserve">≈170–230 HBW (informative)</t>
  </si>
  <si>
    <t xml:space="preserve">P32</t>
  </si>
  <si>
    <t xml:space="preserve">Specified</t>
  </si>
  <si>
    <t xml:space="preserve">typ. ≈156–217 HBW</t>
  </si>
  <si>
    <t xml:space="preserve">65/45 ksi</t>
  </si>
  <si>
    <t xml:space="preserve">P33</t>
  </si>
  <si>
    <t xml:space="preserve">AA 6061-T6</t>
  </si>
  <si>
    <t xml:space="preserve">Sheet/plate/extrusion (typical)</t>
  </si>
  <si>
    <t xml:space="preserve">≈95 HBW</t>
  </si>
  <si>
    <t xml:space="preserve">Fatigue ≈96.5 MPa at 5×10^8 cycles (R. R. Moore, R=−1)</t>
  </si>
  <si>
    <t xml:space="preserve">ASTM minima are lower (e.g. ≈240/260 MPa for some extrusions).</t>
  </si>
  <si>
    <t xml:space="preserve">P34</t>
  </si>
  <si>
    <t xml:space="preserve">AA 7075-T6</t>
  </si>
  <si>
    <t xml:space="preserve">Sheet/plate (typical)</t>
  </si>
  <si>
    <t xml:space="preserve">≈150 HBW</t>
  </si>
  <si>
    <t xml:space="preserve">Fatigue ≈159 MPa at 5×10^8 cycles; KIC ≈29 MPa√m (T651, L-T, approx.)</t>
  </si>
  <si>
    <t xml:space="preserve">SCC-susceptible short-transverse.</t>
  </si>
  <si>
    <t xml:space="preserve">P35</t>
  </si>
  <si>
    <t xml:space="preserve">AA 2024-T3</t>
  </si>
  <si>
    <t xml:space="preserve">Sheet (typical)</t>
  </si>
  <si>
    <t xml:space="preserve">≈120 HBW</t>
  </si>
  <si>
    <t xml:space="preserve">Fatigue ≈138 MPa at 5×10^8 cycles</t>
  </si>
  <si>
    <t xml:space="preserve">P36</t>
  </si>
  <si>
    <t xml:space="preserve">AA 2014-T6</t>
  </si>
  <si>
    <t xml:space="preserve">Bar/forging (typical)</t>
  </si>
  <si>
    <t xml:space="preserve">≈135 HBW</t>
  </si>
  <si>
    <t xml:space="preserve">P37</t>
  </si>
  <si>
    <t xml:space="preserve">AA 5052-H32</t>
  </si>
  <si>
    <t xml:space="preserve">≈60 HBW</t>
  </si>
  <si>
    <t xml:space="preserve">Fatigue ≈117 MPa at 5×10^8 cycles</t>
  </si>
  <si>
    <t xml:space="preserve">P38</t>
  </si>
  <si>
    <t xml:space="preserve">AA 5083-H111</t>
  </si>
  <si>
    <t xml:space="preserve">EN 485-2 minima</t>
  </si>
  <si>
    <t xml:space="preserve">≈75 HBW (approx.)</t>
  </si>
  <si>
    <t xml:space="preserve">UTS range 275–350 MPa</t>
  </si>
  <si>
    <t xml:space="preserve">ASTM tempers (H116/H321) have higher yield.</t>
  </si>
  <si>
    <t xml:space="preserve">P39</t>
  </si>
  <si>
    <t xml:space="preserve">AA 3003-H14</t>
  </si>
  <si>
    <t xml:space="preserve">≈40 HBW</t>
  </si>
  <si>
    <t xml:space="preserve">P40</t>
  </si>
  <si>
    <t xml:space="preserve">AA 6063-T6</t>
  </si>
  <si>
    <t xml:space="preserve">Extrusion (typical)</t>
  </si>
  <si>
    <t xml:space="preserve">≈73 HBW</t>
  </si>
  <si>
    <t xml:space="preserve">P41</t>
  </si>
  <si>
    <t xml:space="preserve">A356.0-T6</t>
  </si>
  <si>
    <t xml:space="preserve">Sand cast (typical)</t>
  </si>
  <si>
    <t xml:space="preserve">≈80 HBW</t>
  </si>
  <si>
    <t xml:space="preserve">Fatigue/elongation highly porosity-dependent</t>
  </si>
  <si>
    <t xml:space="preserve">Casting vs test-bar properties differ.</t>
  </si>
  <si>
    <t xml:space="preserve">P42</t>
  </si>
  <si>
    <t xml:space="preserve">A380.0</t>
  </si>
  <si>
    <t xml:space="preserve">Die cast (typical)</t>
  </si>
  <si>
    <t xml:space="preserve">P43</t>
  </si>
  <si>
    <t xml:space="preserve">UNS C11000 (ETP Cu)</t>
  </si>
  <si>
    <t xml:space="preserve">Annealed O60</t>
  </si>
  <si>
    <t xml:space="preserve">≥100% IACS (1.7241×10^-8 Ω·m at 20 °C)</t>
  </si>
  <si>
    <t xml:space="preserve">High</t>
  </si>
  <si>
    <t xml:space="preserve">P44</t>
  </si>
  <si>
    <t xml:space="preserve">UNS C26000</t>
  </si>
  <si>
    <t xml:space="preserve">Annealed O61</t>
  </si>
  <si>
    <t xml:space="preserve">≈28% IACS</t>
  </si>
  <si>
    <t xml:space="preserve">P45</t>
  </si>
  <si>
    <t xml:space="preserve">UNS C93200</t>
  </si>
  <si>
    <t xml:space="preserve">Sand cast (B584 min)</t>
  </si>
  <si>
    <t xml:space="preserve">≈65 HBW (500 kg)</t>
  </si>
  <si>
    <t xml:space="preserve">P46</t>
  </si>
  <si>
    <t xml:space="preserve">UNS C95400</t>
  </si>
  <si>
    <t xml:space="preserve">As-cast (B148 min)</t>
  </si>
  <si>
    <t xml:space="preserve">≈150 HBW (3000 kg, typical)</t>
  </si>
  <si>
    <t xml:space="preserve">P47</t>
  </si>
  <si>
    <t xml:space="preserve">Ti Grade 2</t>
  </si>
  <si>
    <t xml:space="preserve">Plate/sheet (B265 min)</t>
  </si>
  <si>
    <t xml:space="preserve">Max yield 450 MPa.</t>
  </si>
  <si>
    <t xml:space="preserve">P48</t>
  </si>
  <si>
    <t xml:space="preserve">Ti-6Al-4V Gr 5</t>
  </si>
  <si>
    <t xml:space="preserve">Annealed (B265 min)</t>
  </si>
  <si>
    <t xml:space="preserve">≈36 HRC (typical)</t>
  </si>
  <si>
    <t xml:space="preserve">KIC ≈55–75 MPa√m depending on microstructure</t>
  </si>
  <si>
    <t xml:space="preserve">Typical YS/UTS ≈880/950 MPa.</t>
  </si>
  <si>
    <t xml:space="preserve">P49</t>
  </si>
  <si>
    <t xml:space="preserve">AZ31B</t>
  </si>
  <si>
    <t xml:space="preserve">O-temper sheet (typical)</t>
  </si>
  <si>
    <t xml:space="preserve">P50</t>
  </si>
  <si>
    <t xml:space="preserve">AZ91D</t>
  </si>
  <si>
    <t xml:space="preserve">P51</t>
  </si>
  <si>
    <t xml:space="preserve">UNS N06600</t>
  </si>
  <si>
    <t xml:space="preserve">Annealed (B168 min)</t>
  </si>
  <si>
    <t xml:space="preserve">P52</t>
  </si>
  <si>
    <t xml:space="preserve">UNS N06625</t>
  </si>
  <si>
    <t xml:space="preserve">Annealed Gr 1 (B443 min)</t>
  </si>
  <si>
    <t xml:space="preserve">P53</t>
  </si>
  <si>
    <t xml:space="preserve">UNS N07718</t>
  </si>
  <si>
    <t xml:space="preserve">Solution + aged (AMS-type minimum, approx.)</t>
  </si>
  <si>
    <t xml:space="preserve">Creep/rupture data required for &gt;650 °C</t>
  </si>
  <si>
    <t xml:space="preserve">Exact minima depend on specification and form.</t>
  </si>
  <si>
    <t xml:space="preserve">P54</t>
  </si>
  <si>
    <t xml:space="preserve">UNS N04400</t>
  </si>
  <si>
    <t xml:space="preserve">Annealed (B164/B127 min)</t>
  </si>
  <si>
    <t xml:space="preserve">P55</t>
  </si>
  <si>
    <t xml:space="preserve">UNS N10276</t>
  </si>
  <si>
    <t xml:space="preserve">Solution annealed (B575 min)</t>
  </si>
  <si>
    <t xml:space="preserve">P56</t>
  </si>
  <si>
    <t xml:space="preserve">Zamak 3 (AG40A)</t>
  </si>
  <si>
    <t xml:space="preserve">≈82 HBW</t>
  </si>
  <si>
    <t xml:space="preserve">Creep at RT is significant</t>
  </si>
  <si>
    <t xml:space="preserve">P57</t>
  </si>
  <si>
    <t xml:space="preserve">Zamak 5 (AC41A)</t>
  </si>
  <si>
    <t xml:space="preserve">≈91 HBW</t>
  </si>
  <si>
    <t xml:space="preserve">P58</t>
  </si>
  <si>
    <t xml:space="preserve">Dry as moulded, unfilled</t>
  </si>
  <si>
    <t xml:space="preserve">Typical (range)</t>
  </si>
  <si>
    <t xml:space="preserve">Properties fall markedly with moisture uptake</t>
  </si>
  <si>
    <t xml:space="preserve">23 °C</t>
  </si>
  <si>
    <t xml:space="preserve">Manufacturer datasheet typical; recalled</t>
  </si>
  <si>
    <t xml:space="preserve">Grade/moisture dependent.</t>
  </si>
  <si>
    <t xml:space="preserve">P59</t>
  </si>
  <si>
    <t xml:space="preserve">As PA6</t>
  </si>
  <si>
    <t xml:space="preserve">P60</t>
  </si>
  <si>
    <t xml:space="preserve">Unfilled</t>
  </si>
  <si>
    <t xml:space="preserve">P61</t>
  </si>
  <si>
    <t xml:space="preserve">P62</t>
  </si>
  <si>
    <t xml:space="preserve">Virgin</t>
  </si>
  <si>
    <t xml:space="preserve">Cold flow (creep) significant</t>
  </si>
  <si>
    <t xml:space="preserve">P63</t>
  </si>
  <si>
    <t xml:space="preserve">Tg ≈143 °C; Tm ≈343 °C</t>
  </si>
  <si>
    <t xml:space="preserve">P64</t>
  </si>
  <si>
    <t xml:space="preserve">General purpose</t>
  </si>
  <si>
    <t xml:space="preserve">P65</t>
  </si>
  <si>
    <t xml:space="preserve">P66</t>
  </si>
  <si>
    <t xml:space="preserve">Moulded/extruded</t>
  </si>
  <si>
    <t xml:space="preserve">P67</t>
  </si>
  <si>
    <t xml:space="preserve">Alumina (99.5%)</t>
  </si>
  <si>
    <t xml:space="preserve">Sintered</t>
  </si>
  <si>
    <t xml:space="preserve">≈1500 HV</t>
  </si>
  <si>
    <t xml:space="preserve">KIC ≈4 MPa√m; Weibull statistics govern strength</t>
  </si>
  <si>
    <t xml:space="preserve">Purity-dependent.</t>
  </si>
  <si>
    <t xml:space="preserve">P68</t>
  </si>
  <si>
    <t xml:space="preserve">SiC (sintered)</t>
  </si>
  <si>
    <t xml:space="preserve">Sintered α-SiC</t>
  </si>
  <si>
    <t xml:space="preserve">≈2500 HV</t>
  </si>
  <si>
    <t xml:space="preserve">KIC ≈4 MPa√m</t>
  </si>
  <si>
    <t xml:space="preserve">Route-dependent.</t>
  </si>
  <si>
    <t xml:space="preserve">P69</t>
  </si>
  <si>
    <t xml:space="preserve">ZrO2 (Y-TZP)</t>
  </si>
  <si>
    <t xml:space="preserve">≈1250 HV</t>
  </si>
  <si>
    <t xml:space="preserve">KIC ≈6–10 MPa√m (method dependent)</t>
  </si>
  <si>
    <t xml:space="preserve">P70</t>
  </si>
  <si>
    <t xml:space="preserve">Si3N4 (gas-pressure sintered)</t>
  </si>
  <si>
    <t xml:space="preserve">KIC ≈6 MPa√m</t>
  </si>
  <si>
    <t xml:space="preserve">P71</t>
  </si>
  <si>
    <t xml:space="preserve">WC-Co (≈6% Co)</t>
  </si>
  <si>
    <t xml:space="preserve">TRS (flexural) shown; KIC ≈10–12 MPa√m</t>
  </si>
  <si>
    <t xml:space="preserve">P72</t>
  </si>
  <si>
    <t xml:space="preserve">CFRP UD epoxy (Vf≈0.6)</t>
  </si>
  <si>
    <t xml:space="preserve">0° direction</t>
  </si>
  <si>
    <t xml:space="preserve">E2 ≈9 GPa, G12 ≈5 GPa, ν12 ≈0.3; compression ≈1200–1500 MPa; ILSS ≈70–90 MPa</t>
  </si>
  <si>
    <t xml:space="preserve">Strongly anisotropic — values only along fibre.</t>
  </si>
  <si>
    <t xml:space="preserve">P73</t>
  </si>
  <si>
    <t xml:space="preserve">GFRP UD E-glass/epoxy (Vf≈0.55)</t>
  </si>
  <si>
    <t xml:space="preserve">Transverse values far lower</t>
  </si>
  <si>
    <t xml:space="preserve">Strongly anisotropic.</t>
  </si>
  <si>
    <t xml:space="preserve">P74</t>
  </si>
  <si>
    <t xml:space="preserve">CTE rises above Curie temperature (≈230 °C)</t>
  </si>
  <si>
    <t xml:space="preserve">CTE value applies near RT.</t>
  </si>
  <si>
    <t xml:space="preserve">P75</t>
  </si>
  <si>
    <t xml:space="preserve">CTE 30–400 °C approx.</t>
  </si>
  <si>
    <t xml:space="preserve">P76</t>
  </si>
  <si>
    <t xml:space="preserve">Wrought</t>
  </si>
  <si>
    <t xml:space="preserve">Oxidises rapidly in air above ≈500–600 °C</t>
  </si>
  <si>
    <t xml:space="preserve">P77</t>
  </si>
  <si>
    <t xml:space="preserve">Wrought/sintered</t>
  </si>
  <si>
    <t xml:space="preserve">P78</t>
  </si>
  <si>
    <t xml:space="preserve">Austenitic manganese steel (A128)</t>
  </si>
  <si>
    <t xml:space="preserve">Water-toughened</t>
  </si>
  <si>
    <t xml:space="preserve">≈200 HBW; work-hardened surface ≈400–550 HBW</t>
  </si>
  <si>
    <t xml:space="preserve">Hardening requires impact/deformation</t>
  </si>
  <si>
    <t xml:space="preserve">Grade-dependent.</t>
  </si>
  <si>
    <t xml:space="preserve">P79</t>
  </si>
  <si>
    <t xml:space="preserve">Plate (manufacturer typical)</t>
  </si>
  <si>
    <t xml:space="preserve">Manufacturer typical</t>
  </si>
  <si>
    <t xml:space="preserve">370–430 HBW (SSAB)</t>
  </si>
  <si>
    <t xml:space="preserve">E, ν generic steel; check current datasheet.</t>
  </si>
  <si>
    <t xml:space="preserve">P80</t>
  </si>
  <si>
    <t xml:space="preserve">425–475 HBW (SSAB)</t>
  </si>
  <si>
    <t xml:space="preserve">Check current datasheet.</t>
  </si>
  <si>
    <t xml:space="preserve">Sheet 4 — Grain, Crystal &amp; Microstructure Reference (family level)</t>
  </si>
  <si>
    <t xml:space="preserve">Numbers in [ ] are Master No. from the upload. Grain size and phases depend on processing; no family-wide single value is implied. Statements are textbook-level knowledge, not re-checked against sources.</t>
  </si>
  <si>
    <t xml:space="preserve">ID</t>
  </si>
  <si>
    <t xml:space="preserve">Family / group</t>
  </si>
  <si>
    <t xml:space="preserve">Representative grades [Master No.]</t>
  </si>
  <si>
    <t xml:space="preserve">Crystal structure at RT</t>
  </si>
  <si>
    <t xml:space="preserve">Phases / constituents</t>
  </si>
  <si>
    <t xml:space="preserve">Typical grain / microstructure</t>
  </si>
  <si>
    <t xml:space="preserve">Strengthening mechanisms</t>
  </si>
  <si>
    <t xml:space="preserve">Heat-treatment / processing response</t>
  </si>
  <si>
    <t xml:space="preserve">Structure → property effects &amp; key risks</t>
  </si>
  <si>
    <t xml:space="preserve">Metallography / grain-size method</t>
  </si>
  <si>
    <t xml:space="preserve">GS01</t>
  </si>
  <si>
    <t xml:space="preserve">Low-carbon / structural steels</t>
  </si>
  <si>
    <t xml:space="preserve">1006–1025, A36, IS 2062 E250 [1–6,12,14]</t>
  </si>
  <si>
    <t xml:space="preserve">BCC α-ferrite (+ orthorhombic Fe3C)</t>
  </si>
  <si>
    <t xml:space="preserve">Ferrite + pearlite</t>
  </si>
  <si>
    <t xml:space="preserve">Equiaxed ferrite (hot-rolled/normalised); elongated + dislocation-dense (cold-drawn)</t>
  </si>
  <si>
    <t xml:space="preserve">Grain-boundary (Hall–Petch), solid solution (Mn, Si), work hardening</t>
  </si>
  <si>
    <t xml:space="preserve">Normalise to refine grain; cold work raises strength; limited hardenability</t>
  </si>
  <si>
    <t xml:space="preserve">Fine grain → higher yield and lower ductile-brittle transition temperature (BCC DBTT); banding and decarburisation are quality risks</t>
  </si>
  <si>
    <t xml:space="preserve">ASTM E112 grain size; E3/E407 prep/etch; E45 inclusions</t>
  </si>
  <si>
    <t xml:space="preserve">GS02</t>
  </si>
  <si>
    <t xml:space="preserve">Medium/high-carbon steels</t>
  </si>
  <si>
    <t xml:space="preserve">1035–1060, 65Mn [7–11,55]</t>
  </si>
  <si>
    <t xml:space="preserve">BCC α-ferrite + Fe3C; BCT martensite when quenched</t>
  </si>
  <si>
    <t xml:space="preserve">Pearlite fraction rises with C</t>
  </si>
  <si>
    <t xml:space="preserve">Pearlite colonies/lamellar spacing; spheroidised for machinability</t>
  </si>
  <si>
    <t xml:space="preserve">Pearlite spacing, martensite (carbon), tempering carbides</t>
  </si>
  <si>
    <t xml:space="preserve">Q&amp;T; induction hardening; as-quenched BCT c/a ≈1+0.045·%C (approx.)</t>
  </si>
  <si>
    <t xml:space="preserve">Fine pearlite = strength; coarse = ductility; quench cracking above ≈0.4–0.5%C in water</t>
  </si>
  <si>
    <t xml:space="preserve">E112; hardness traverse; E3</t>
  </si>
  <si>
    <t xml:space="preserve">GS03</t>
  </si>
  <si>
    <t xml:space="preserve">HSLA structural steels</t>
  </si>
  <si>
    <t xml:space="preserve">E350, A572 Gr50 [13,15]</t>
  </si>
  <si>
    <t xml:space="preserve">BCC ferrite + pearlite/bainite</t>
  </si>
  <si>
    <t xml:space="preserve">Nb/V/Ti carbonitrides</t>
  </si>
  <si>
    <t xml:space="preserve">Very fine ferrite from controlled rolling (TMCP)</t>
  </si>
  <si>
    <t xml:space="preserve">Grain refinement, precipitation, solid solution</t>
  </si>
  <si>
    <t xml:space="preserve">Controlled rolling/accelerated cooling; no Q&amp;T</t>
  </si>
  <si>
    <t xml:space="preserve">HAZ grain coarsening/ MA constituents reduce toughness; weld procedure &amp; CE control</t>
  </si>
  <si>
    <t xml:space="preserve">E112; Charpy per grade</t>
  </si>
  <si>
    <t xml:space="preserve">GS04</t>
  </si>
  <si>
    <t xml:space="preserve">Q&amp;T Cr-Mo / Ni-Cr-Mo steels</t>
  </si>
  <si>
    <t xml:space="preserve">4130, 4140, 4340, 42CrMo4, 34CrNiMo6, 25CrMo4 [16–18,25,26]</t>
  </si>
  <si>
    <t xml:space="preserve">BCT martensite (as-quenched) → tempered martensite (BCC + carbides)</t>
  </si>
  <si>
    <t xml:space="preserve">Retained austenite (FCC) minor; bainite in thick sections</t>
  </si>
  <si>
    <t xml:space="preserve">Lath martensite packets within prior-austenite grains</t>
  </si>
  <si>
    <t xml:space="preserve">Martensite carbon, carbide precipitation, dislocation density</t>
  </si>
  <si>
    <t xml:space="preserve">Austenitise → quench → temper; temper temp sets strength/toughness</t>
  </si>
  <si>
    <t xml:space="preserve">Temper embrittlement (≈375–575 °C) and tempered-martensite embrittlement (≈250–400 °C); hydrogen embrittlement rises with strength; prior-austenite grain size controls toughness</t>
  </si>
  <si>
    <t xml:space="preserve">E112 (PAGS); E3; hardness; Charpy</t>
  </si>
  <si>
    <t xml:space="preserve">GS05</t>
  </si>
  <si>
    <t xml:space="preserve">Case-hardening steels</t>
  </si>
  <si>
    <t xml:space="preserve">8620, 9310, 16MnCr5, 20MnCr5, 18CrNiMo7-6 [19–22,27]</t>
  </si>
  <si>
    <t xml:space="preserve">Case: BCT/BCC tempered martensite + carbides + retained austenite (FCC); core: low-C martensite/bainite</t>
  </si>
  <si>
    <t xml:space="preserve">Carbide networks, retained austenite, intergranular oxidation in case</t>
  </si>
  <si>
    <t xml:space="preserve">Case/core gradient (case depth typically ≈0.5–2 mm for gears)</t>
  </si>
  <si>
    <t xml:space="preserve">Carbon gradient, martensite, compressive residual stress</t>
  </si>
  <si>
    <t xml:space="preserve">Carburise ≈880–950 °C → quench → low temper; or carbonitride/nitride</t>
  </si>
  <si>
    <t xml:space="preserve">Contact/bending fatigue depend on case depth, retained austenite, inclusions; grinding burn</t>
  </si>
  <si>
    <t xml:space="preserve">ISO 2639 / E1077 case/decarb; microhardness E384; E3</t>
  </si>
  <si>
    <t xml:space="preserve">GS06</t>
  </si>
  <si>
    <t xml:space="preserve">52100 / 100Cr6 [52]</t>
  </si>
  <si>
    <t xml:space="preserve">Tempered martensite + spheroidal (Fe,Cr)3C carbides</t>
  </si>
  <si>
    <t xml:space="preserve">Retained austenite (few %), carbides ≈ 0.5–1 µm</t>
  </si>
  <si>
    <t xml:space="preserve">Fine, uniform carbide dispersion</t>
  </si>
  <si>
    <t xml:space="preserve">Martensite + carbides</t>
  </si>
  <si>
    <t xml:space="preserve">Spheroidise anneal → harden → temper (≈60–66 HRC)</t>
  </si>
  <si>
    <t xml:space="preserve">Rolling-contact fatigue controlled by inclusions; white-etching cracks</t>
  </si>
  <si>
    <t xml:space="preserve">E45/ISO 4967 cleanliness; E3; hardness</t>
  </si>
  <si>
    <t xml:space="preserve">GS07</t>
  </si>
  <si>
    <t xml:space="preserve">Spring steels</t>
  </si>
  <si>
    <t xml:space="preserve">5160, 9254, 65Mn [53–55]</t>
  </si>
  <si>
    <t xml:space="preserve">Tempered martensite (BCC + carbides)</t>
  </si>
  <si>
    <t xml:space="preserve">Minor retained austenite</t>
  </si>
  <si>
    <t xml:space="preserve">Fine tempered martensite; surface must be free of decarb</t>
  </si>
  <si>
    <t xml:space="preserve">Martensite + tempering</t>
  </si>
  <si>
    <t xml:space="preserve">Oil quench + temper (≈42–52 HRC typical)</t>
  </si>
  <si>
    <t xml:space="preserve">Fatigue initiates at surface defects/decarburisation; shot peening helps</t>
  </si>
  <si>
    <t xml:space="preserve">E1077 decarb; hardness</t>
  </si>
  <si>
    <t xml:space="preserve">GS08</t>
  </si>
  <si>
    <t xml:space="preserve">Tool steels (cold-work)</t>
  </si>
  <si>
    <t xml:space="preserve">O1, A2, D2 [45–47]</t>
  </si>
  <si>
    <t xml:space="preserve">BCT martensite + carbides (cementite / M7C3)</t>
  </si>
  <si>
    <t xml:space="preserve">Retained austenite (FCC)</t>
  </si>
  <si>
    <t xml:space="preserve">Carbide size/banding strongly alloy-dependent (D2 coarse)</t>
  </si>
  <si>
    <t xml:space="preserve">Martensite + hard carbides</t>
  </si>
  <si>
    <t xml:space="preserve">Harden + multiple tempers; D2 secondary hardening</t>
  </si>
  <si>
    <t xml:space="preserve">Chipping (D2), distortion, quench cracking</t>
  </si>
  <si>
    <t xml:space="preserve">E3; hardness; carbide rating</t>
  </si>
  <si>
    <t xml:space="preserve">GS09</t>
  </si>
  <si>
    <t xml:space="preserve">Tool steels (hot-work &amp; HSS)</t>
  </si>
  <si>
    <t xml:space="preserve">H11, H13, M2, M35 [48–51]</t>
  </si>
  <si>
    <t xml:space="preserve">Tempered martensite + MC/M6C/M2C carbides</t>
  </si>
  <si>
    <t xml:space="preserve">Retained austenite converted by multiple tempers</t>
  </si>
  <si>
    <t xml:space="preserve">Fine carbides, secondary hardening</t>
  </si>
  <si>
    <t xml:space="preserve">Secondary hardening carbides</t>
  </si>
  <si>
    <t xml:space="preserve">Austenitise → quench → 2–3 tempers</t>
  </si>
  <si>
    <t xml:space="preserve">Thermal fatigue (heat checking), temper softening, banding</t>
  </si>
  <si>
    <t xml:space="preserve">E3; hardness; microstructure rating</t>
  </si>
  <si>
    <t xml:space="preserve">GS10</t>
  </si>
  <si>
    <t xml:space="preserve">Austenitic stainless</t>
  </si>
  <si>
    <t xml:space="preserve">201, 301, 304/L, 316/L, 321, 310S [31–38]</t>
  </si>
  <si>
    <t xml:space="preserve">Possible δ-ferrite, strain-induced α′ martensite, carbides, sigma (long exposure)</t>
  </si>
  <si>
    <t xml:space="preserve">Equiaxed twinned grains</t>
  </si>
  <si>
    <t xml:space="preserve">Solid solution (N, Mo, C), cold work</t>
  </si>
  <si>
    <t xml:space="preserve">Solution anneal &amp; quench; cold work for strength (301)</t>
  </si>
  <si>
    <t xml:space="preserve">No DBTT (FCC); sensitisation ≈450–850 °C; chloride SCC; strain-induced martensite makes 301/304 slightly magnetic after cold work</t>
  </si>
  <si>
    <t xml:space="preserve">ASTM A262 IGC; E112; ferrite number</t>
  </si>
  <si>
    <t xml:space="preserve">GS11</t>
  </si>
  <si>
    <t xml:space="preserve">Ferritic / martensitic stainless</t>
  </si>
  <si>
    <t xml:space="preserve">410, 420, 430, 440C [39–42]</t>
  </si>
  <si>
    <t xml:space="preserve">BCC ferrite (430); BCT martensite (410/420/440C)</t>
  </si>
  <si>
    <t xml:space="preserve">Cr carbides; 440C has large primary carbides</t>
  </si>
  <si>
    <t xml:space="preserve">Coarse-grain risk in ferritic after welding</t>
  </si>
  <si>
    <t xml:space="preserve">Martensite (C), carbides</t>
  </si>
  <si>
    <t xml:space="preserve">Harden + temper (martensitic); anneal (ferritic)</t>
  </si>
  <si>
    <t xml:space="preserve">Reduced corrosion resistance if tempered in sensitising range; ferritic DBTT near RT in thick sections</t>
  </si>
  <si>
    <t xml:space="preserve">E3; hardness; salt-spray/ASTM A262-type tests as applicable</t>
  </si>
  <si>
    <t xml:space="preserve">GS12</t>
  </si>
  <si>
    <t xml:space="preserve">Duplex &amp; PH stainless</t>
  </si>
  <si>
    <t xml:space="preserve">2205, 17-4 PH [43,44]</t>
  </si>
  <si>
    <t xml:space="preserve">Duplex: BCC δ + FCC γ (~50:50). 17-4: martensite (BCC/BCT) + Cu-rich precipitates</t>
  </si>
  <si>
    <t xml:space="preserve">Sigma/chi phases, α′ (475 °C), carbides; delta ferrite stringers in 17-4</t>
  </si>
  <si>
    <t xml:space="preserve">Fine duplex lamellar grains aligned in rolling direction</t>
  </si>
  <si>
    <t xml:space="preserve">Grain refinement + N (duplex); precipitation (17-4)</t>
  </si>
  <si>
    <t xml:space="preserve">Solution anneal; ageing H900–H1150 for 17-4</t>
  </si>
  <si>
    <t xml:space="preserve">Sigma/475 °C embrittlement; duplex low-temperature toughness depends on phase balance; 17-4 SCC/hydrogen risk in H900</t>
  </si>
  <si>
    <t xml:space="preserve">Ferrite measurement (ASTM E562/E1181-type practice, verify); A923 (verify)</t>
  </si>
  <si>
    <t xml:space="preserve">GS13</t>
  </si>
  <si>
    <t xml:space="preserve">IS 210 FG 150/200/260, EN-GJL, A48 [56–60,64]</t>
  </si>
  <si>
    <t xml:space="preserve">Graphite flakes (hex) in ferrite/pearlite (BCC) matrix</t>
  </si>
  <si>
    <t xml:space="preserve">Steadite (Fe–Fe3P) possible; cementite (chill)</t>
  </si>
  <si>
    <t xml:space="preserve">Flake type/size (ASTM A247 types A–E)</t>
  </si>
  <si>
    <t xml:space="preserve">Matrix pearlite, flake size</t>
  </si>
  <si>
    <t xml:space="preserve">Stress-relief; alloying (Cu, Cr, Mo) raises strength</t>
  </si>
  <si>
    <t xml:space="preserve">Flakes = internal notches: low tensile, high damping, excellent compressive strength; section-size sensitivity</t>
  </si>
  <si>
    <t xml:space="preserve">ASTM A247 graphite; E3; Brinell</t>
  </si>
  <si>
    <t xml:space="preserve">GS14</t>
  </si>
  <si>
    <t xml:space="preserve">Ductile (SG) iron</t>
  </si>
  <si>
    <t xml:space="preserve">EN-GJS-400-15, 500-7, A536 [61–63]</t>
  </si>
  <si>
    <t xml:space="preserve">Graphite nodules in ferrite and/or pearlite (BCC) matrix</t>
  </si>
  <si>
    <t xml:space="preserve">Carbides, dross, exploded graphite defects</t>
  </si>
  <si>
    <t xml:space="preserve">Nodule count/size; ferrite 'bull's-eye'</t>
  </si>
  <si>
    <t xml:space="preserve">Matrix + nodularity</t>
  </si>
  <si>
    <t xml:space="preserve">Mg/Ce treatment; ferritise anneal; ADI austemper</t>
  </si>
  <si>
    <t xml:space="preserve">Nodularity ≥ typical 80–90% for rated grades; slag/shrinkage defects reduce fatigue and toughness</t>
  </si>
  <si>
    <t xml:space="preserve">ASTM A247 nodularity; E3; tensile</t>
  </si>
  <si>
    <t xml:space="preserve">GS15</t>
  </si>
  <si>
    <t xml:space="preserve">Aluminium non-heat-treatable</t>
  </si>
  <si>
    <t xml:space="preserve">1050, 1100, 3003, 5052, 5083 [65,66,69–71]</t>
  </si>
  <si>
    <t xml:space="preserve">Dispersoids (Mn, Fe), Mg in solution</t>
  </si>
  <si>
    <t xml:space="preserve">Equiaxed (O temper) or elongated (H tempers)</t>
  </si>
  <si>
    <t xml:space="preserve">Cold work, solid solution (Mg)</t>
  </si>
  <si>
    <t xml:space="preserve">Strain hardening; anneal</t>
  </si>
  <si>
    <t xml:space="preserve">No DBTT; 5xxx sensitisation (&gt;≈65 °C long-term) → IGC/SCC; welds soften to O-like strength in work-hardened tempers</t>
  </si>
  <si>
    <t xml:space="preserve">E112; ASTM G67 NAMLT (verify)</t>
  </si>
  <si>
    <t xml:space="preserve">GS16</t>
  </si>
  <si>
    <t xml:space="preserve">Aluminium heat-treatable</t>
  </si>
  <si>
    <t xml:space="preserve">2014, 2024, 6061, 6063, 6082, 7075 [67,68,72–76]</t>
  </si>
  <si>
    <t xml:space="preserve">FCC α-Al matrix + precipitates</t>
  </si>
  <si>
    <t xml:space="preserve">θ′(Al2Cu), β″/β′(Mg2Si), η′/η(MgZn2), PFZ, grain-boundary precipitates</t>
  </si>
  <si>
    <t xml:space="preserve">Recrystallised vs unrecrystallised/pancaked grains; anisotropy</t>
  </si>
  <si>
    <t xml:space="preserve">Precipitation hardening</t>
  </si>
  <si>
    <t xml:space="preserve">Solution treat → quench → age (T6) or overage (T73) for SCC</t>
  </si>
  <si>
    <t xml:space="preserve">7xxx short-transverse SCC and exfoliation; 6061-T6 weld HAZ softening; quench sensitivity/distortion</t>
  </si>
  <si>
    <t xml:space="preserve">Conductivity &amp; hardness for temper check; ASTM G34/G47 (verify)</t>
  </si>
  <si>
    <t xml:space="preserve">GS17</t>
  </si>
  <si>
    <t xml:space="preserve">Aluminium cast alloys</t>
  </si>
  <si>
    <t xml:space="preserve">A356, A380 [77,78]</t>
  </si>
  <si>
    <t xml:space="preserve">FCC α-Al dendrites + eutectic Si (diamond cubic)</t>
  </si>
  <si>
    <t xml:space="preserve">Fe-rich intermetallics, Mg2Si, porosity</t>
  </si>
  <si>
    <t xml:space="preserve">Dendrite arm spacing; modified (Sr) fibrous Si</t>
  </si>
  <si>
    <t xml:space="preserve">Precipitation (A356-T6), eutectic Si</t>
  </si>
  <si>
    <t xml:space="preserve">Sr modification, degas, T6; HIP for critical parts</t>
  </si>
  <si>
    <t xml:space="preserve">Fatigue controlled by pore/oxide size; die-cast skin/core</t>
  </si>
  <si>
    <t xml:space="preserve">E3; porosity: radiography/CT</t>
  </si>
  <si>
    <t xml:space="preserve">GS18</t>
  </si>
  <si>
    <t xml:space="preserve">Copper &amp; brasses</t>
  </si>
  <si>
    <t xml:space="preserve">C10100, C11000, C26000, C36000 [79–82]</t>
  </si>
  <si>
    <t xml:space="preserve">FCC Cu / FCC α-brass; α + BCC β′ in C36000</t>
  </si>
  <si>
    <t xml:space="preserve">Pb globules (C36000), Cu2O (C11000)</t>
  </si>
  <si>
    <t xml:space="preserve">Twinned equiaxed grains</t>
  </si>
  <si>
    <t xml:space="preserve">Cold work, solid solution (Zn)</t>
  </si>
  <si>
    <t xml:space="preserve">Anneal/cold-work tempers</t>
  </si>
  <si>
    <t xml:space="preserve">Conductivity falls with impurities/cold work; dezincification, season cracking</t>
  </si>
  <si>
    <t xml:space="preserve">ASTM E112 (copper grain size E112), conductivity (IACS)</t>
  </si>
  <si>
    <t xml:space="preserve">GS19</t>
  </si>
  <si>
    <t xml:space="preserve">Bronzes</t>
  </si>
  <si>
    <t xml:space="preserve">C51000, C93200, C95400, C86300 [83–86]</t>
  </si>
  <si>
    <t xml:space="preserve">FCC α (+ δ, κ, β depending on alloy)</t>
  </si>
  <si>
    <t xml:space="preserve">Pb islands (C93200), κ phases (C95400), β (C86300)</t>
  </si>
  <si>
    <t xml:space="preserve">Cast dendritic or wrought equiaxed</t>
  </si>
  <si>
    <t xml:space="preserve">Solid solution, intermetallics, cold work</t>
  </si>
  <si>
    <t xml:space="preserve">Heat-treatable for some Al-bronzes; cast alloys as-cast</t>
  </si>
  <si>
    <t xml:space="preserve">Bearing bronze wear relies on soft Pb + hard δ; Al-bronze dealuminification</t>
  </si>
  <si>
    <t xml:space="preserve">E3; hardness</t>
  </si>
  <si>
    <t xml:space="preserve">GS20</t>
  </si>
  <si>
    <t xml:space="preserve">Titanium alloys</t>
  </si>
  <si>
    <t xml:space="preserve">Gr 2, Ti-6Al-4V [87,88]</t>
  </si>
  <si>
    <t xml:space="preserve">HCP α (Gr 2); α (HCP) + β (BCC) in Ti-6Al-4V</t>
  </si>
  <si>
    <t xml:space="preserve">α-case, TiH, ω/α₂ in other alloys</t>
  </si>
  <si>
    <t xml:space="preserve">Equiaxed α, lamellar, or bimodal; prior-β grain size</t>
  </si>
  <si>
    <t xml:space="preserve">Solid solution (O, Al), α/β phase fraction &amp; morphology</t>
  </si>
  <si>
    <t xml:space="preserve">Mill anneal, STA, β-process</t>
  </si>
  <si>
    <t xml:space="preserve">Oxygen/hydrogen embrittlement; alpha-case; microstructure sets fracture-toughness/fatigue trade-off; β transus ≈995 °C</t>
  </si>
  <si>
    <t xml:space="preserve">E112 not applicable to lamellar; ASTM E2333/F1108-type practices (verify); E3</t>
  </si>
  <si>
    <t xml:space="preserve">GS21</t>
  </si>
  <si>
    <t xml:space="preserve">Magnesium alloys</t>
  </si>
  <si>
    <t xml:space="preserve">AZ31B, AZ91D [89,90]</t>
  </si>
  <si>
    <t xml:space="preserve">HCP α-Mg (+ β-Mg17Al12)</t>
  </si>
  <si>
    <t xml:space="preserve">Mg17Al12 at grain boundaries, Al-Mn intermetallics</t>
  </si>
  <si>
    <t xml:space="preserve">Wrought: recrystallised with basal texture; die-cast: fine skin + porous core</t>
  </si>
  <si>
    <t xml:space="preserve">Solid solution (Al, Zn), grain refinement, precipitates</t>
  </si>
  <si>
    <t xml:space="preserve">Limited heat treatment; rolled/extruded anneals</t>
  </si>
  <si>
    <t xml:space="preserve">Low RT formability (few slip systems), anisotropy; galvanic corrosion; flammable fines</t>
  </si>
  <si>
    <t xml:space="preserve">E112; E3</t>
  </si>
  <si>
    <t xml:space="preserve">GS22</t>
  </si>
  <si>
    <t xml:space="preserve">Nickel alloys</t>
  </si>
  <si>
    <t xml:space="preserve">600, 625, 718, Monel 400, C-276 [91–95]</t>
  </si>
  <si>
    <t xml:space="preserve">FCC γ (+ γ″ BCT, γ′ L1_2, δ orthorhombic in 718)</t>
  </si>
  <si>
    <t xml:space="preserve">Carbides, Laves, δ; σ/μ/P on long exposure</t>
  </si>
  <si>
    <t xml:space="preserve">Twinned equiaxed grains; grain size critical for creep and notch</t>
  </si>
  <si>
    <t xml:space="preserve">Solid solution (Mo, Nb, Cr), precipitation (718)</t>
  </si>
  <si>
    <t xml:space="preserve">Solution anneal; double age (718)</t>
  </si>
  <si>
    <t xml:space="preserve">No DBTT; creep strength from γ″/γ′ and grain-boundary carbides; 718 loses strength &gt;≈650 °C</t>
  </si>
  <si>
    <t xml:space="preserve">E112; E3; creep E139</t>
  </si>
  <si>
    <t xml:space="preserve">GS23</t>
  </si>
  <si>
    <t xml:space="preserve">Zinc die-cast alloys</t>
  </si>
  <si>
    <t xml:space="preserve">Zamak 3, 5 [96,97]</t>
  </si>
  <si>
    <t xml:space="preserve">HCP η-Zn + Al-rich FCC phase</t>
  </si>
  <si>
    <t xml:space="preserve">Zn-Al eutectoid decomposition (ageing)</t>
  </si>
  <si>
    <t xml:space="preserve">Fine dendritic die-cast structure</t>
  </si>
  <si>
    <t xml:space="preserve">Solid solution, fine grain</t>
  </si>
  <si>
    <t xml:space="preserve">None (as-cast)</t>
  </si>
  <si>
    <t xml:space="preserve">Room-temperature creep, dimensional ageing, Pb/Cd/Sn impurity-driven intergranular corrosion</t>
  </si>
  <si>
    <t xml:space="preserve">E3</t>
  </si>
  <si>
    <t xml:space="preserve">GS24</t>
  </si>
  <si>
    <t xml:space="preserve">Engineering polymers</t>
  </si>
  <si>
    <t xml:space="preserve">PA6, PA66, POM, PTFE, PEEK, UHMWPE, HDPE, PET, PPS [98–103,106,107,110,111]</t>
  </si>
  <si>
    <t xml:space="preserve">Semi-crystalline: crystalline lamellae + amorphous regions</t>
  </si>
  <si>
    <t xml:space="preserve">Spherulites, tie molecules, fillers</t>
  </si>
  <si>
    <t xml:space="preserve">Crystallinity 30–80% typical depending on polymer &amp; cooling</t>
  </si>
  <si>
    <t xml:space="preserve">Crystallinity, molecular weight, orientation, fillers</t>
  </si>
  <si>
    <t xml:space="preserve">Moulding/annealing controls crystallinity</t>
  </si>
  <si>
    <t xml:space="preserve">Moisture (PA), creep, Tg/Tm limits, notch sensitivity, UV/chemical attack</t>
  </si>
  <si>
    <t xml:space="preserve">DSC (E1356/E794 etc.), ASTM D638, D256</t>
  </si>
  <si>
    <t xml:space="preserve">GS25</t>
  </si>
  <si>
    <t xml:space="preserve">Amorphous polymers</t>
  </si>
  <si>
    <t xml:space="preserve">ABS, PC, PVC-U [104,105,108]</t>
  </si>
  <si>
    <t xml:space="preserve">Amorphous (no long-range order)</t>
  </si>
  <si>
    <t xml:space="preserve">Rubber phase in ABS</t>
  </si>
  <si>
    <t xml:space="preserve">Glassy below Tg; flow orientation</t>
  </si>
  <si>
    <t xml:space="preserve">Chain entanglement, rubber toughening</t>
  </si>
  <si>
    <t xml:space="preserve">Moulding/annealing</t>
  </si>
  <si>
    <t xml:space="preserve">Environmental stress cracking, notch brittleness, weld-line weakness</t>
  </si>
  <si>
    <t xml:space="preserve">D638; D648 HDT; D256</t>
  </si>
  <si>
    <t xml:space="preserve">GS26</t>
  </si>
  <si>
    <t xml:space="preserve">Elastomers (TPU)</t>
  </si>
  <si>
    <t xml:space="preserve">TPU [109]</t>
  </si>
  <si>
    <t xml:space="preserve">Phase-separated hard/soft block copolymer</t>
  </si>
  <si>
    <t xml:space="preserve">Hard-domain crystallinity</t>
  </si>
  <si>
    <t xml:space="preserve">Micro-phase separated</t>
  </si>
  <si>
    <t xml:space="preserve">Physical crosslinks</t>
  </si>
  <si>
    <t xml:space="preserve">Processing temp / annealing</t>
  </si>
  <si>
    <t xml:space="preserve">Hysteresis/heat build-up; hydrolysis (polyester TPU)</t>
  </si>
  <si>
    <t xml:space="preserve">D412, D2240</t>
  </si>
  <si>
    <t xml:space="preserve">GS27</t>
  </si>
  <si>
    <t xml:space="preserve">Technical ceramics</t>
  </si>
  <si>
    <t xml:space="preserve">Al2O3, SiC, ZrO2, Si3N4 [112–115]</t>
  </si>
  <si>
    <t xml:space="preserve">Alumina: hexagonal/trigonal corundum; SiC: hexagonal α/cubic β; ZrO2: monoclinic/tetragonal/cubic; Si3N4: hexagonal β/α</t>
  </si>
  <si>
    <t xml:space="preserve">Glassy grain-boundary films, porosity</t>
  </si>
  <si>
    <t xml:space="preserve">Grain size ≈ sub-µm to tens of µm; elongated β-Si3N4</t>
  </si>
  <si>
    <t xml:space="preserve">Grain size, toughening mechanisms (transformation toughening in Y-TZP)</t>
  </si>
  <si>
    <t xml:space="preserve">Sintering (pressureless, GPS, HIP)</t>
  </si>
  <si>
    <t xml:space="preserve">Brittle, flaw-controlled strength (Weibull), thermal shock, low-temperature ageing in Y-TZP</t>
  </si>
  <si>
    <t xml:space="preserve">ASTM C1161, C1421, C1327</t>
  </si>
  <si>
    <t xml:space="preserve">GS28</t>
  </si>
  <si>
    <t xml:space="preserve">Hardmetals &amp; superabrasives</t>
  </si>
  <si>
    <t xml:space="preserve">WC-Co, CBN, PCD [116–118]</t>
  </si>
  <si>
    <t xml:space="preserve">WC hexagonal + Co binder (FCC/HCP); cBN cubic; diamond cubic</t>
  </si>
  <si>
    <t xml:space="preserve">Eta phase (brittle) if carbon-deficient; binder pools</t>
  </si>
  <si>
    <t xml:space="preserve">WC grain size ≈ 0.2–6 µm typical</t>
  </si>
  <si>
    <t xml:space="preserve">Grain size, binder fraction</t>
  </si>
  <si>
    <t xml:space="preserve">Liquid-phase sintering/HPHT</t>
  </si>
  <si>
    <t xml:space="preserve">Hardness–toughness trade-off; thermal/chemical wear (PCD on ferrous)</t>
  </si>
  <si>
    <t xml:space="preserve">ASTM B276 microstructure (verify), B311, B406</t>
  </si>
  <si>
    <t xml:space="preserve">GS29</t>
  </si>
  <si>
    <t xml:space="preserve">Composites</t>
  </si>
  <si>
    <t xml:space="preserve">CFRP, GFRP, aramid [119–121]</t>
  </si>
  <si>
    <t xml:space="preserve">Fibre: carbon (turbostratic graphitic), glass (amorphous), aramid (oriented polymer); matrix polymer</t>
  </si>
  <si>
    <t xml:space="preserve">Voids, fibre waviness, resin-rich zones</t>
  </si>
  <si>
    <t xml:space="preserve">Layup-dependent laminate microstructure; fibre Vf ≈ 50–65% typical</t>
  </si>
  <si>
    <t xml:space="preserve">Fibre-dominated; matrix controls shear/compression/Tg</t>
  </si>
  <si>
    <t xml:space="preserve">Cure cycle controls void content and Tg</t>
  </si>
  <si>
    <t xml:space="preserve">Delamination, impact damage (BVID), moisture, galvanic corrosion with metals (carbon)</t>
  </si>
  <si>
    <t xml:space="preserve">ASTM D3171, D2734 (verify), D3039, D7136 (verify)</t>
  </si>
  <si>
    <t xml:space="preserve">GS30</t>
  </si>
  <si>
    <t xml:space="preserve">Shape-memory &amp; special alloys</t>
  </si>
  <si>
    <t xml:space="preserve">NiTi, CuBe, CoCr, Invar, Kovar [122–126]</t>
  </si>
  <si>
    <t xml:space="preserve">NiTi: B2 ↔ B19′; CuBe: FCC + precipitates; CoCr: FCC/HCP; Invar/Kovar: FCC</t>
  </si>
  <si>
    <t xml:space="preserve">Ni4Ti3 precipitates (NiTi), γ′ (CuBe), carbides (CoCr)</t>
  </si>
  <si>
    <t xml:space="preserve">Fine recrystallised grains</t>
  </si>
  <si>
    <t xml:space="preserve">Precipitation / transformation</t>
  </si>
  <si>
    <t xml:space="preserve">Solution + age; cold work + anneal (NiTi); stabilising anneal (Invar)</t>
  </si>
  <si>
    <t xml:space="preserve">Af temperature sensitive to ±0.1 at% Ni; Be hazard; Invar creep/dimension drift</t>
  </si>
  <si>
    <t xml:space="preserve">DSC (F2004), dilatometry (E228)</t>
  </si>
  <si>
    <t xml:space="preserve">GS31</t>
  </si>
  <si>
    <t xml:space="preserve">Refractory metals &amp; graphite</t>
  </si>
  <si>
    <t xml:space="preserve">Mo, W, graphite [127–129]</t>
  </si>
  <si>
    <t xml:space="preserve">BCC (W, Mo); hexagonal layered graphite</t>
  </si>
  <si>
    <t xml:space="preserve">Oxides; porosity in P/M</t>
  </si>
  <si>
    <t xml:space="preserve">Elongated worked grains; recrystallised after high T</t>
  </si>
  <si>
    <t xml:space="preserve">Work hardening, grain size</t>
  </si>
  <si>
    <t xml:space="preserve">Powder metallurgy + working</t>
  </si>
  <si>
    <t xml:space="preserve">W/Mo brittle near RT (high DBTT), oxidise in air; graphite oxidises &gt;≈400–500 °C</t>
  </si>
  <si>
    <t xml:space="preserve">E112; density</t>
  </si>
  <si>
    <t xml:space="preserve">GS32</t>
  </si>
  <si>
    <t xml:space="preserve">Wear-resistant steels</t>
  </si>
  <si>
    <t xml:space="preserve">Hadfield, Hardox 400/450 [130–132]</t>
  </si>
  <si>
    <t xml:space="preserve">Hadfield: FCC austenite (+carbides); Hardox: martensite/bainite (BCC/BCT)</t>
  </si>
  <si>
    <t xml:space="preserve">Carbide networks (Hadfield as-cast), retained austenite</t>
  </si>
  <si>
    <t xml:space="preserve">Water-toughened austenite; fine Q&amp;T lath structure</t>
  </si>
  <si>
    <t xml:space="preserve">Strain-induced twinning/work hardening (Hadfield); martensite (Hardox)</t>
  </si>
  <si>
    <t xml:space="preserve">Water toughen (Hadfield); Q or Q&amp;T (Hardox)</t>
  </si>
  <si>
    <t xml:space="preserve">Hadfield needs impact to harden; Hardox HAZ softening and bend limits</t>
  </si>
  <si>
    <t xml:space="preserve">Hardness; E3; Charpy</t>
  </si>
  <si>
    <t xml:space="preserve">GS33</t>
  </si>
  <si>
    <t xml:space="preserve">Additive-manufactured metals</t>
  </si>
  <si>
    <t xml:space="preserve">AlSi10Mg, 316L, Ti64, IN718 (gap list)</t>
  </si>
  <si>
    <t xml:space="preserve">Same crystal structures as wrought but non-equilibrium microstructure</t>
  </si>
  <si>
    <t xml:space="preserve">Porosity, lack-of-fusion, α′ martensite (Ti64), cellular segregation</t>
  </si>
  <si>
    <t xml:space="preserve">Columnar grains along build direction; very fine cells; strong texture</t>
  </si>
  <si>
    <t xml:space="preserve">Cellular structure, grain refinement, dislocations</t>
  </si>
  <si>
    <t xml:space="preserve">Stress relief, HIP, solution/age</t>
  </si>
  <si>
    <t xml:space="preserve">Anisotropy (build direction), rough surface lowers fatigue, residual stress, powder reuse (O pickup)</t>
  </si>
  <si>
    <t xml:space="preserve">ASTM E3/E112; F3122 (verify); CT/density</t>
  </si>
  <si>
    <t xml:space="preserve">Crystal-structure fundamentals</t>
  </si>
  <si>
    <t xml:space="preserve">#</t>
  </si>
  <si>
    <t xml:space="preserve">Structure</t>
  </si>
  <si>
    <t xml:space="preserve">Examples</t>
  </si>
  <si>
    <t xml:space="preserve">Coordination / packing</t>
  </si>
  <si>
    <t xml:space="preserve">Slip systems</t>
  </si>
  <si>
    <t xml:space="preserve">Behaviour</t>
  </si>
  <si>
    <t xml:space="preserve">BCC</t>
  </si>
  <si>
    <t xml:space="preserve">α-Fe, Cr, Mo, W, V; ferritic steels</t>
  </si>
  <si>
    <t xml:space="preserve">CN 8, APF 0.68</t>
  </si>
  <si>
    <t xml:space="preserve">12 primary {110}&lt;111&gt; (up to 48 incl. {112},{123})</t>
  </si>
  <si>
    <t xml:space="preserve">Yes — ductile-to-brittle transition; strength rises strongly at low T/high strain rate</t>
  </si>
  <si>
    <t xml:space="preserve">FCC</t>
  </si>
  <si>
    <t xml:space="preserve">γ-Fe, Al, Cu, Ni, Pb; austenitic SS, Ni alloys</t>
  </si>
  <si>
    <t xml:space="preserve">CN 12, APF 0.74</t>
  </si>
  <si>
    <t xml:space="preserve">12 {111}&lt;110&gt;</t>
  </si>
  <si>
    <t xml:space="preserve">No DBTT — ductile at cryogenic T; high work-hardening</t>
  </si>
  <si>
    <t xml:space="preserve">HCP</t>
  </si>
  <si>
    <t xml:space="preserve">Ti (α), Mg, Zn, Zr, Be, Co (ε)</t>
  </si>
  <si>
    <t xml:space="preserve">CN 12, APF 0.74 (ideal c/a)</t>
  </si>
  <si>
    <t xml:space="preserve">Basal &lt;a&gt; (3) at RT; prismatic/pyramidal depend on metal &amp; T</t>
  </si>
  <si>
    <t xml:space="preserve">Limited RT slip in Mg/Zn → anisotropy, twinning; Ti has more slip modes</t>
  </si>
  <si>
    <t xml:space="preserve">BCT (martensite)</t>
  </si>
  <si>
    <t xml:space="preserve">Fast-quenched steel (C trapped in octahedral sites)</t>
  </si>
  <si>
    <t xml:space="preserve">c/a ≈ 1 + 0.045·wt%C (approx.)</t>
  </si>
  <si>
    <t xml:space="preserve">Distorted BCC; very high dislocation density</t>
  </si>
  <si>
    <t xml:space="preserve">Hard/brittle until tempered (→ BCC + carbides)</t>
  </si>
  <si>
    <t xml:space="preserve">Reference transformation temperatures / compositions (approximate)</t>
  </si>
  <si>
    <t xml:space="preserve">Item</t>
  </si>
  <si>
    <t xml:space="preserve">Approximate value</t>
  </si>
  <si>
    <t xml:space="preserve">α-Fe ↔ γ-Fe transformation (pure Fe)</t>
  </si>
  <si>
    <t xml:space="preserve">≈912 °C (BCC→FCC); δ-Fe BCC ≈1394–1538 °C</t>
  </si>
  <si>
    <t xml:space="preserve">Fe–C eutectoid</t>
  </si>
  <si>
    <t xml:space="preserve">≈727 °C, ≈0.76 wt% C</t>
  </si>
  <si>
    <t xml:space="preserve">Fe–C eutectic</t>
  </si>
  <si>
    <t xml:space="preserve">≈1147 °C, ≈4.3 wt% C</t>
  </si>
  <si>
    <t xml:space="preserve">Max C solubility</t>
  </si>
  <si>
    <t xml:space="preserve">≈0.022 wt% in ferrite (727 °C); ≈2.14 wt% in austenite (1147 °C)</t>
  </si>
  <si>
    <t xml:space="preserve">Ti β transus</t>
  </si>
  <si>
    <t xml:space="preserve">Pure Ti ≈882 °C; Ti-6Al-4V ≈995 °C (typical, composition dependent)</t>
  </si>
  <si>
    <t xml:space="preserve">Al–Si eutectic</t>
  </si>
  <si>
    <t xml:space="preserve">≈577 °C, ≈12.6 wt% Si</t>
  </si>
  <si>
    <t xml:space="preserve">Sn (white tin)</t>
  </si>
  <si>
    <t xml:space="preserve">β-Sn BCT at RT; α-tin (diamond cubic) below ≈13 °C</t>
  </si>
  <si>
    <t xml:space="preserve">Co</t>
  </si>
  <si>
    <t xml:space="preserve">HCP (ε) at RT; FCC above ≈417 °C</t>
  </si>
  <si>
    <t xml:space="preserve">Sheet 5 — Formula Register &amp; Worked Examples</t>
  </si>
  <si>
    <t xml:space="preserve">Yellow/blue = assumed input (change to re-run); green = linked from Sheet 3; grey = formula. Each block ends with an independent-path check and a computed status.</t>
  </si>
  <si>
    <t xml:space="preserve">Block</t>
  </si>
  <si>
    <t xml:space="preserve">Quantity / step</t>
  </si>
  <si>
    <t xml:space="preserve">Symbol</t>
  </si>
  <si>
    <t xml:space="preserve">Value</t>
  </si>
  <si>
    <t xml:space="preserve">Unit</t>
  </si>
  <si>
    <t xml:space="preserve">Type</t>
  </si>
  <si>
    <t xml:space="preserve">Equation / assumptions / note</t>
  </si>
  <si>
    <t xml:space="preserve">Status</t>
  </si>
  <si>
    <t xml:space="preserve">B1</t>
  </si>
  <si>
    <t xml:space="preserve">Density &amp; unit conversion</t>
  </si>
  <si>
    <t xml:space="preserve">Equation: ρ = m / V ;  1 g/cm³ = 1000 kg/m³ (ρ in kg/m³, m in kg, V in m³)</t>
  </si>
  <si>
    <t xml:space="preserve">Assumptions / applicability</t>
  </si>
  <si>
    <t xml:space="preserve">Homogeneous solid, no voids; mass and dimensions measured at same temperature.</t>
  </si>
  <si>
    <t xml:space="preserve">Mass</t>
  </si>
  <si>
    <t xml:space="preserve">m</t>
  </si>
  <si>
    <t xml:space="preserve">kg</t>
  </si>
  <si>
    <t xml:space="preserve">Input</t>
  </si>
  <si>
    <t xml:space="preserve">Assumed example (steel block)</t>
  </si>
  <si>
    <t xml:space="preserve">Length</t>
  </si>
  <si>
    <t xml:space="preserve">Lx</t>
  </si>
  <si>
    <t xml:space="preserve">Width</t>
  </si>
  <si>
    <t xml:space="preserve">Ly</t>
  </si>
  <si>
    <t xml:space="preserve">Height</t>
  </si>
  <si>
    <t xml:space="preserve">Lz</t>
  </si>
  <si>
    <t xml:space="preserve">Volume</t>
  </si>
  <si>
    <t xml:space="preserve">V</t>
  </si>
  <si>
    <t xml:space="preserve">m³</t>
  </si>
  <si>
    <t xml:space="preserve">Calc</t>
  </si>
  <si>
    <t xml:space="preserve">V = Lx·Ly·Lz</t>
  </si>
  <si>
    <t xml:space="preserve">Density</t>
  </si>
  <si>
    <t xml:space="preserve">ρ</t>
  </si>
  <si>
    <t xml:space="preserve">kg/m³</t>
  </si>
  <si>
    <t xml:space="preserve">ρ = m/V</t>
  </si>
  <si>
    <t xml:space="preserve">Density (converted)</t>
  </si>
  <si>
    <t xml:space="preserve">g/cm³</t>
  </si>
  <si>
    <t xml:space="preserve">Conversion factor 1000</t>
  </si>
  <si>
    <t xml:space="preserve">Check: grams ÷ cm³</t>
  </si>
  <si>
    <t xml:space="preserve">ρ_chk</t>
  </si>
  <si>
    <t xml:space="preserve">Check</t>
  </si>
  <si>
    <t xml:space="preserve">Independent path in g and cm</t>
  </si>
  <si>
    <t xml:space="preserve">Verification tolerance (relative)</t>
  </si>
  <si>
    <t xml:space="preserve">tol</t>
  </si>
  <si>
    <t xml:space="preserve">–</t>
  </si>
  <si>
    <t xml:space="preserve">Pass if |check − result| / result ≤ tol</t>
  </si>
  <si>
    <t xml:space="preserve">Independent check: |chk − rhog| / rhog</t>
  </si>
  <si>
    <t xml:space="preserve">Δrel</t>
  </si>
  <si>
    <t xml:space="preserve">Relative difference between primary and independent route</t>
  </si>
  <si>
    <t xml:space="preserve">B2</t>
  </si>
  <si>
    <t xml:space="preserve">Linear thermal expansion</t>
  </si>
  <si>
    <t xml:space="preserve">Equation: ΔL = α·L0·ΔT  (α in K⁻¹; ΔT in K)</t>
  </si>
  <si>
    <t xml:space="preserve">Constant α is acceptable for modest ΔT (≈ &lt;100–200 K) away from phase changes; use dL/L tables for wide ranges, cryogenic service, Invar/polymers.</t>
  </si>
  <si>
    <t xml:space="preserve">Original length</t>
  </si>
  <si>
    <t xml:space="preserve">L0</t>
  </si>
  <si>
    <t xml:space="preserve">Assumed example</t>
  </si>
  <si>
    <t xml:space="preserve">CTE of AA 6061-T6 (Sheet 3)</t>
  </si>
  <si>
    <t xml:space="preserve">α</t>
  </si>
  <si>
    <t xml:space="preserve">µm/(m·K)</t>
  </si>
  <si>
    <t xml:space="preserve">Linked</t>
  </si>
  <si>
    <t xml:space="preserve">Temperature change</t>
  </si>
  <si>
    <t xml:space="preserve">ΔT</t>
  </si>
  <si>
    <t xml:space="preserve">K</t>
  </si>
  <si>
    <t xml:space="preserve">Assumed</t>
  </si>
  <si>
    <t xml:space="preserve">Length change</t>
  </si>
  <si>
    <t xml:space="preserve">ΔL</t>
  </si>
  <si>
    <t xml:space="preserve">α converted to K⁻¹</t>
  </si>
  <si>
    <t xml:space="preserve">mm</t>
  </si>
  <si>
    <t xml:space="preserve">Check: µm route</t>
  </si>
  <si>
    <t xml:space="preserve">ΔL_chk</t>
  </si>
  <si>
    <t xml:space="preserve">α[µm/m·K]×L0[m]×ΔT[K] = µm</t>
  </si>
  <si>
    <t xml:space="preserve">Independent check: |chk − dLmm| / dLmm</t>
  </si>
  <si>
    <t xml:space="preserve">B3</t>
  </si>
  <si>
    <t xml:space="preserve">Electrical resistance of a conductor</t>
  </si>
  <si>
    <t xml:space="preserve">Equation: R = ρe·L / A   (ρe = electrical resistivity, Ω·m — NOT mass density)</t>
  </si>
  <si>
    <t xml:space="preserve">Uniform round wire, DC, 20 °C; temperature coefficient not included.</t>
  </si>
  <si>
    <t xml:space="preserve">Resistivity (annealed Cu, 100% IACS)</t>
  </si>
  <si>
    <t xml:space="preserve">ρe</t>
  </si>
  <si>
    <t xml:space="preserve">Ω·m</t>
  </si>
  <si>
    <t xml:space="preserve">International Annealed Copper Standard value</t>
  </si>
  <si>
    <t xml:space="preserve">L</t>
  </si>
  <si>
    <t xml:space="preserve">Wire diameter</t>
  </si>
  <si>
    <t xml:space="preserve">d</t>
  </si>
  <si>
    <t xml:space="preserve">Cross-section</t>
  </si>
  <si>
    <t xml:space="preserve">A</t>
  </si>
  <si>
    <t xml:space="preserve">m²</t>
  </si>
  <si>
    <t xml:space="preserve">Resistance</t>
  </si>
  <si>
    <t xml:space="preserve">R</t>
  </si>
  <si>
    <t xml:space="preserve">Ω</t>
  </si>
  <si>
    <t xml:space="preserve">Check: Ω·mm²/m route</t>
  </si>
  <si>
    <t xml:space="preserve">R_chk</t>
  </si>
  <si>
    <t xml:space="preserve">ρ converted to Ω·mm²/m</t>
  </si>
  <si>
    <t xml:space="preserve">Independent check: |chk − R| / R</t>
  </si>
  <si>
    <t xml:space="preserve">B4</t>
  </si>
  <si>
    <t xml:space="preserve">Specific strength &amp; specific stiffness (AA 6061-T6)</t>
  </si>
  <si>
    <t xml:space="preserve">Equation: σ/ρ and E/ρ  — here σ = UTS (state the strength definition used)</t>
  </si>
  <si>
    <t xml:space="preserve">Consistent SI units; only meaningful for comparison at equal load path (see Material Selection indices).</t>
  </si>
  <si>
    <t xml:space="preserve">UTS (Sheet 3)</t>
  </si>
  <si>
    <t xml:space="preserve">σ</t>
  </si>
  <si>
    <t xml:space="preserve">MPa</t>
  </si>
  <si>
    <t xml:space="preserve">Density (Sheet 3)</t>
  </si>
  <si>
    <t xml:space="preserve">E (Sheet 3)</t>
  </si>
  <si>
    <t xml:space="preserve">E</t>
  </si>
  <si>
    <t xml:space="preserve">GPa</t>
  </si>
  <si>
    <t xml:space="preserve">Specific strength</t>
  </si>
  <si>
    <t xml:space="preserve">σ/ρ</t>
  </si>
  <si>
    <t xml:space="preserve">kN·m/kg</t>
  </si>
  <si>
    <t xml:space="preserve">MPa ÷ (kg/m³) = 1000 N·m/kg</t>
  </si>
  <si>
    <t xml:space="preserve">Specific stiffness</t>
  </si>
  <si>
    <t xml:space="preserve">E/ρ</t>
  </si>
  <si>
    <t xml:space="preserve">MN·m/kg</t>
  </si>
  <si>
    <t xml:space="preserve">Check: MPa ÷ (g/cm³)</t>
  </si>
  <si>
    <t xml:space="preserve">(σ/ρ)_chk</t>
  </si>
  <si>
    <t xml:space="preserve">Numerically equal</t>
  </si>
  <si>
    <t xml:space="preserve">Check: GPa ÷ (g/cm³)</t>
  </si>
  <si>
    <t xml:space="preserve">(E/ρ)_chk</t>
  </si>
  <si>
    <t xml:space="preserve">Independent check: |chk − ss| / ss</t>
  </si>
  <si>
    <t xml:space="preserve">Independent check: |chk2 − sf| / sf</t>
  </si>
  <si>
    <t xml:space="preserve">B5</t>
  </si>
  <si>
    <t xml:space="preserve">Engineering stress, strain, Hooke's law</t>
  </si>
  <si>
    <t xml:space="preserve">Equation: σ = F/A0 ;  ε = σ/E ;  ΔL = ε·L0</t>
  </si>
  <si>
    <t xml:space="preserve">Axial, uniform stress, linear-elastic (σ below yield), small strain.</t>
  </si>
  <si>
    <t xml:space="preserve">Axial force</t>
  </si>
  <si>
    <t xml:space="preserve">F</t>
  </si>
  <si>
    <t xml:space="preserve">kN</t>
  </si>
  <si>
    <t xml:space="preserve">Original area</t>
  </si>
  <si>
    <t xml:space="preserve">A0</t>
  </si>
  <si>
    <t xml:space="preserve">mm²</t>
  </si>
  <si>
    <t xml:space="preserve">Gauge length</t>
  </si>
  <si>
    <t xml:space="preserve">E, AISI 1045 HR (Sheet 3)</t>
  </si>
  <si>
    <t xml:space="preserve">Stress</t>
  </si>
  <si>
    <t xml:space="preserve">N/mm²</t>
  </si>
  <si>
    <t xml:space="preserve">Strain</t>
  </si>
  <si>
    <t xml:space="preserve">ε</t>
  </si>
  <si>
    <t xml:space="preserve">Elongation</t>
  </si>
  <si>
    <t xml:space="preserve">Check: SI route ΔL = F·L0/(A·E)</t>
  </si>
  <si>
    <t xml:space="preserve">All SI then converted</t>
  </si>
  <si>
    <t xml:space="preserve">Independent check: |chk − dL| / dL</t>
  </si>
  <si>
    <t xml:space="preserve">B6</t>
  </si>
  <si>
    <t xml:space="preserve">Bending stress (rectangular beam)</t>
  </si>
  <si>
    <t xml:space="preserve">Equation: σ = M·c / I ;  I = b·h³/12 ;  c = h/2</t>
  </si>
  <si>
    <t xml:space="preserve">Prismatic, linear-elastic, Euler–Bernoulli, no stress concentration, load in a principal plane.</t>
  </si>
  <si>
    <t xml:space="preserve">Bending moment</t>
  </si>
  <si>
    <t xml:space="preserve">M</t>
  </si>
  <si>
    <t xml:space="preserve">N·m</t>
  </si>
  <si>
    <t xml:space="preserve">b</t>
  </si>
  <si>
    <t xml:space="preserve">Depth</t>
  </si>
  <si>
    <t xml:space="preserve">h</t>
  </si>
  <si>
    <t xml:space="preserve">Second moment of area</t>
  </si>
  <si>
    <t xml:space="preserve">I</t>
  </si>
  <si>
    <t xml:space="preserve">m⁴</t>
  </si>
  <si>
    <t xml:space="preserve">Distance to outer fibre</t>
  </si>
  <si>
    <t xml:space="preserve">c</t>
  </si>
  <si>
    <t xml:space="preserve">Max bending stress</t>
  </si>
  <si>
    <t xml:space="preserve">Check: σ = 6M/(b·h²)</t>
  </si>
  <si>
    <t xml:space="preserve">σ_chk</t>
  </si>
  <si>
    <t xml:space="preserve">Section-modulus form</t>
  </si>
  <si>
    <t xml:space="preserve">Independent check: |chk − sig| / sig</t>
  </si>
  <si>
    <t xml:space="preserve">B7</t>
  </si>
  <si>
    <t xml:space="preserve">Torsional shear stress (solid round shaft)</t>
  </si>
  <si>
    <t xml:space="preserve">Equation: τ = T·r / J ;  J = π·d⁴/32</t>
  </si>
  <si>
    <t xml:space="preserve">Solid circular section, elastic, no keyway/shoulder stress concentration.</t>
  </si>
  <si>
    <t xml:space="preserve">Torque</t>
  </si>
  <si>
    <t xml:space="preserve">T</t>
  </si>
  <si>
    <t xml:space="preserve">Diameter</t>
  </si>
  <si>
    <t xml:space="preserve">Polar moment</t>
  </si>
  <si>
    <t xml:space="preserve">J</t>
  </si>
  <si>
    <t xml:space="preserve">Max shear stress</t>
  </si>
  <si>
    <t xml:space="preserve">τ</t>
  </si>
  <si>
    <t xml:space="preserve">Check: τ = 16T/(π·d³)</t>
  </si>
  <si>
    <t xml:space="preserve">τ_chk</t>
  </si>
  <si>
    <t xml:space="preserve">Independent check: |chk − tau| / tau</t>
  </si>
  <si>
    <t xml:space="preserve">B8</t>
  </si>
  <si>
    <t xml:space="preserve">Factor of safety (yield basis)</t>
  </si>
  <si>
    <t xml:space="preserve">Equation: n = S_y / σ_working  (ductile metals; use UTS or fracture basis for brittle materials)</t>
  </si>
  <si>
    <t xml:space="preserve">Static load; σ_working must include stress concentrations/dynamic factors for real design; compare with code-required factors.</t>
  </si>
  <si>
    <t xml:space="preserve">Yield, AISI 4140 Q&amp;T (Sheet 3)</t>
  </si>
  <si>
    <t xml:space="preserve">S_y</t>
  </si>
  <si>
    <t xml:space="preserve">Linked (single tempering point)</t>
  </si>
  <si>
    <t xml:space="preserve">Working stress (from B6)</t>
  </si>
  <si>
    <t xml:space="preserve">Linked to block B6</t>
  </si>
  <si>
    <t xml:space="preserve">Factor of safety</t>
  </si>
  <si>
    <t xml:space="preserve">n</t>
  </si>
  <si>
    <t xml:space="preserve">Check: reciprocal route</t>
  </si>
  <si>
    <t xml:space="preserve">n_chk</t>
  </si>
  <si>
    <t xml:space="preserve">Independent check: |chk − n| / n</t>
  </si>
  <si>
    <t xml:space="preserve">B9</t>
  </si>
  <si>
    <t xml:space="preserve">Thermal stress (fully restrained)</t>
  </si>
  <si>
    <t xml:space="preserve">Equation: σ = E·α·ΔT</t>
  </si>
  <si>
    <t xml:space="preserve">Full restraint, uniform temperature, linear-elastic, constant E and α, σ below yield; real restraint is partial.</t>
  </si>
  <si>
    <t xml:space="preserve">CTE, AISI 1045 HR (Sheet 3)</t>
  </si>
  <si>
    <t xml:space="preserve">Temperature rise</t>
  </si>
  <si>
    <t xml:space="preserve">Thermal stress</t>
  </si>
  <si>
    <t xml:space="preserve">Check: SI route</t>
  </si>
  <si>
    <t xml:space="preserve">Independent check: |chk − sg| / sg</t>
  </si>
  <si>
    <t xml:space="preserve">B10</t>
  </si>
  <si>
    <t xml:space="preserve">Fatigue design parameter — modified Goodman factor of safety</t>
  </si>
  <si>
    <t xml:space="preserve">Equation: 1/n = σa/Se + σm/Sut ;  Se ≈ 0.5·Sut (steel, Sut ≤ ~1400 MPa, rotating-beam specimen)</t>
  </si>
  <si>
    <t xml:space="preserve">Infinite-life, proportional loading, uniaxial; real Se needs Marin factors (surface, size, load, reliability, notch). Illustrative inputs.</t>
  </si>
  <si>
    <t xml:space="preserve">Alternating stress</t>
  </si>
  <si>
    <t xml:space="preserve">σa</t>
  </si>
  <si>
    <t xml:space="preserve">Mean stress</t>
  </si>
  <si>
    <t xml:space="preserve">σm</t>
  </si>
  <si>
    <t xml:space="preserve">Ultimate strength</t>
  </si>
  <si>
    <t xml:space="preserve">Sut</t>
  </si>
  <si>
    <t xml:space="preserve">Endurance limit estimate</t>
  </si>
  <si>
    <t xml:space="preserve">Se</t>
  </si>
  <si>
    <t xml:space="preserve">0.5 factor is a steel rule of thumb</t>
  </si>
  <si>
    <t xml:space="preserve">Goodman factor of safety</t>
  </si>
  <si>
    <t xml:space="preserve">Expected value on Goodman line</t>
  </si>
  <si>
    <t xml:space="preserve">1</t>
  </si>
  <si>
    <t xml:space="preserve">At n·σ the point lies on the line</t>
  </si>
  <si>
    <t xml:space="preserve">Check: n·σa/Se + n·σm/Sut</t>
  </si>
  <si>
    <t xml:space="preserve">chk</t>
  </si>
  <si>
    <t xml:space="preserve">Must equal 1</t>
  </si>
  <si>
    <t xml:space="preserve">Independent check: |exp − chk| / chk</t>
  </si>
  <si>
    <t xml:space="preserve">B11</t>
  </si>
  <si>
    <t xml:space="preserve">Grain-size strengthening (Hall–Petch)</t>
  </si>
  <si>
    <t xml:space="preserve">Equation: σy = σ0 + ky / √d</t>
  </si>
  <si>
    <t xml:space="preserve">Valid for typical polycrystalline grains (≈ µm–tens of µm); breaks down at nanoscale. σ0, ky below are ASSUMED illustrative values (order of magnitude for mild steel), not fitted data.</t>
  </si>
  <si>
    <t xml:space="preserve">Friction stress</t>
  </si>
  <si>
    <t xml:space="preserve">σ0</t>
  </si>
  <si>
    <t xml:space="preserve">Assumed illustrative</t>
  </si>
  <si>
    <t xml:space="preserve">Hall–Petch slope</t>
  </si>
  <si>
    <t xml:space="preserve">ky</t>
  </si>
  <si>
    <t xml:space="preserve">MPa·m^½</t>
  </si>
  <si>
    <t xml:space="preserve">Grain diameter</t>
  </si>
  <si>
    <t xml:space="preserve">20 µm assumed</t>
  </si>
  <si>
    <t xml:space="preserve">Yield strength</t>
  </si>
  <si>
    <t xml:space="preserve">σy</t>
  </si>
  <si>
    <t xml:space="preserve">Check: mm units</t>
  </si>
  <si>
    <t xml:space="preserve">σy_chk</t>
  </si>
  <si>
    <t xml:space="preserve">ky converted to MPa·mm^½</t>
  </si>
  <si>
    <t xml:space="preserve">Independent check: |chk − sy| / sy</t>
  </si>
  <si>
    <t xml:space="preserve">B12</t>
  </si>
  <si>
    <t xml:space="preserve">ASTM E112 grain size number</t>
  </si>
  <si>
    <t xml:space="preserve">Equation: n = 2^(G−1) grains per in² at 100× ; real grains/mm² = n ÷ (25.4/100)² ; d ≈ √(area) (square-grain approx.)</t>
  </si>
  <si>
    <t xml:space="preserve">Single-phase equiaxed structure; planimetric definition.</t>
  </si>
  <si>
    <t xml:space="preserve">ASTM grain size number</t>
  </si>
  <si>
    <t xml:space="preserve">G</t>
  </si>
  <si>
    <t xml:space="preserve">mm per inch</t>
  </si>
  <si>
    <t xml:space="preserve">in</t>
  </si>
  <si>
    <t xml:space="preserve">Magnification</t>
  </si>
  <si>
    <t xml:space="preserve">×</t>
  </si>
  <si>
    <t xml:space="preserve">Grains per in² at 100×</t>
  </si>
  <si>
    <t xml:space="preserve">1/in²</t>
  </si>
  <si>
    <t xml:space="preserve">Real area represented by 1 in² at 100×</t>
  </si>
  <si>
    <t xml:space="preserve">a</t>
  </si>
  <si>
    <t xml:space="preserve">Grains per mm²</t>
  </si>
  <si>
    <t xml:space="preserve">N</t>
  </si>
  <si>
    <t xml:space="preserve">1/mm²</t>
  </si>
  <si>
    <t xml:space="preserve">Mean grain size (square-grain approx.)</t>
  </si>
  <si>
    <t xml:space="preserve">µm</t>
  </si>
  <si>
    <t xml:space="preserve">ASTM tabulated mean grain diameter, G=8 (recalled)</t>
  </si>
  <si>
    <t xml:space="preserve">d_ref</t>
  </si>
  <si>
    <t xml:space="preserve">Recalled table value — not re-fetched</t>
  </si>
  <si>
    <t xml:space="preserve">Independent check: |chk − dd| / dd</t>
  </si>
  <si>
    <t xml:space="preserve">B13</t>
  </si>
  <si>
    <t xml:space="preserve">Carbon equivalent (IIW)</t>
  </si>
  <si>
    <t xml:space="preserve">Equation: CE = C + Mn/6 + (Cr+Mo+V)/5 + (Ni+Cu)/15  (wt%)</t>
  </si>
  <si>
    <t xml:space="preserve">Weldability screening only; preheat depends on thickness, hydrogen level, restraint and code. Illustrative composition.</t>
  </si>
  <si>
    <t xml:space="preserve">Carbon</t>
  </si>
  <si>
    <t xml:space="preserve">C</t>
  </si>
  <si>
    <t xml:space="preserve">wt%</t>
  </si>
  <si>
    <t xml:space="preserve">Manganese</t>
  </si>
  <si>
    <t xml:space="preserve">Mn</t>
  </si>
  <si>
    <t xml:space="preserve">Chromium</t>
  </si>
  <si>
    <t xml:space="preserve">Cr</t>
  </si>
  <si>
    <t xml:space="preserve">Mo</t>
  </si>
  <si>
    <t xml:space="preserve">Vanadium</t>
  </si>
  <si>
    <t xml:space="preserve">Nickel</t>
  </si>
  <si>
    <t xml:space="preserve">Ni</t>
  </si>
  <si>
    <t xml:space="preserve">Cu</t>
  </si>
  <si>
    <t xml:space="preserve">Carbon equivalent</t>
  </si>
  <si>
    <t xml:space="preserve">CE</t>
  </si>
  <si>
    <t xml:space="preserve">Check: term by term</t>
  </si>
  <si>
    <t xml:space="preserve">CE_chk</t>
  </si>
  <si>
    <t xml:space="preserve">Independent check: |chk − CE| / CE</t>
  </si>
  <si>
    <t xml:space="preserve">B14</t>
  </si>
  <si>
    <t xml:space="preserve">Pitting resistance equivalent number (PREN)</t>
  </si>
  <si>
    <t xml:space="preserve">Equation: PREN = %Cr + 3.3·%Mo + 16·%N</t>
  </si>
  <si>
    <t xml:space="preserve">Ranking index only (no unique N factor; Mn/S/W variants exist); not a service guarantee. Illustrative mid-range 2205 composition.</t>
  </si>
  <si>
    <t xml:space="preserve">Nitrogen</t>
  </si>
  <si>
    <t xml:space="preserve">PREN</t>
  </si>
  <si>
    <t xml:space="preserve">Check: fraction form</t>
  </si>
  <si>
    <t xml:space="preserve">PREN_chk</t>
  </si>
  <si>
    <t xml:space="preserve">Independent check: |chk − PREN| / PREN</t>
  </si>
  <si>
    <t xml:space="preserve">B15</t>
  </si>
  <si>
    <t xml:space="preserve">Larson–Miller creep parameter</t>
  </si>
  <si>
    <t xml:space="preserve">Equation: LMP = T·(C + log10 t) ;  T in K, t in h</t>
  </si>
  <si>
    <t xml:space="preserve">C ≈ 20 is a typical default; alloy-specific C and the stress–LMP master curve must come from creep test data (ASTM E139).</t>
  </si>
  <si>
    <t xml:space="preserve">Temperature</t>
  </si>
  <si>
    <t xml:space="preserve">°C</t>
  </si>
  <si>
    <t xml:space="preserve">Larson–Miller constant</t>
  </si>
  <si>
    <t xml:space="preserve">Assumed typical</t>
  </si>
  <si>
    <t xml:space="preserve">Rupture time</t>
  </si>
  <si>
    <t xml:space="preserve">t</t>
  </si>
  <si>
    <t xml:space="preserve">Larson–Miller parameter</t>
  </si>
  <si>
    <t xml:space="preserve">LMP</t>
  </si>
  <si>
    <t xml:space="preserve">Check: invert for t</t>
  </si>
  <si>
    <t xml:space="preserve">t_chk</t>
  </si>
  <si>
    <t xml:space="preserve">Should return t</t>
  </si>
  <si>
    <t xml:space="preserve">Independent check: |t − chk| / chk</t>
  </si>
  <si>
    <t xml:space="preserve">B16</t>
  </si>
  <si>
    <t xml:space="preserve">Hardness–UTS approximation (steels)</t>
  </si>
  <si>
    <t xml:space="preserve">Equation: UTS ≈ 3.45 × HBW  (MPa)</t>
  </si>
  <si>
    <t xml:space="preserve">Carbon &amp; low-alloy steels only (roughly 150–450 HBW); not for austenitic SS, cold-worked or cast irons; ±~10% scatter; for estimates, not acceptance.</t>
  </si>
  <si>
    <t xml:space="preserve">Brinell hardness</t>
  </si>
  <si>
    <t xml:space="preserve">HBW</t>
  </si>
  <si>
    <t xml:space="preserve">Estimated UTS</t>
  </si>
  <si>
    <t xml:space="preserve">UTS</t>
  </si>
  <si>
    <t xml:space="preserve">Check: 500·HBW psi → MPa</t>
  </si>
  <si>
    <t xml:space="preserve">UTS_chk</t>
  </si>
  <si>
    <t xml:space="preserve">psi→MPa factor 0.00689476</t>
  </si>
  <si>
    <t xml:space="preserve">Independent check: |chk − U| / U</t>
  </si>
  <si>
    <t xml:space="preserve">B17</t>
  </si>
  <si>
    <t xml:space="preserve">Archard wear (illustrative)</t>
  </si>
  <si>
    <t xml:space="preserve">Equation: V = K·W·s / H</t>
  </si>
  <si>
    <t xml:space="preserve">K is system-specific (from pin-on-disc type tests); no predictive use without test data. H = hardness of softer surface. Illustrative inputs.</t>
  </si>
  <si>
    <t xml:space="preserve">Wear coefficient</t>
  </si>
  <si>
    <t xml:space="preserve">Normal load</t>
  </si>
  <si>
    <t xml:space="preserve">W</t>
  </si>
  <si>
    <t xml:space="preserve">Sliding distance</t>
  </si>
  <si>
    <t xml:space="preserve">s</t>
  </si>
  <si>
    <t xml:space="preserve">Hardness of softer body</t>
  </si>
  <si>
    <t xml:space="preserve">H</t>
  </si>
  <si>
    <t xml:space="preserve">Pa</t>
  </si>
  <si>
    <t xml:space="preserve">2 GPa assumed</t>
  </si>
  <si>
    <t xml:space="preserve">Worn volume</t>
  </si>
  <si>
    <t xml:space="preserve">mm³</t>
  </si>
  <si>
    <t xml:space="preserve">Check: N/mm² route</t>
  </si>
  <si>
    <t xml:space="preserve">V_chk</t>
  </si>
  <si>
    <t xml:space="preserve">Independent check: |chk − Vmm| / Vmm</t>
  </si>
  <si>
    <t xml:space="preserve">B18</t>
  </si>
  <si>
    <t xml:space="preserve">Isotropic elastic constants</t>
  </si>
  <si>
    <t xml:space="preserve">Equation: G = E / (2(1+ν)) ;  K = E / (3(1−2ν))</t>
  </si>
  <si>
    <t xml:space="preserve">Isotropic, linear-elastic; invalid for CFRP laminates/textured metals.</t>
  </si>
  <si>
    <t xml:space="preserve">E, AA 6061-T6 (Sheet 3)</t>
  </si>
  <si>
    <t xml:space="preserve">ν, AA 6061-T6 (Sheet 3)</t>
  </si>
  <si>
    <t xml:space="preserve">ν</t>
  </si>
  <si>
    <t xml:space="preserve">Shear modulus</t>
  </si>
  <si>
    <t xml:space="preserve">Bulk modulus</t>
  </si>
  <si>
    <t xml:space="preserve">Handbook shear modulus, 6061-T6 (recalled)</t>
  </si>
  <si>
    <t xml:space="preserve">G_ref</t>
  </si>
  <si>
    <t xml:space="preserve">Recalled — not re-fetched</t>
  </si>
  <si>
    <t xml:space="preserve">Independent check: |chk − G| / G</t>
  </si>
  <si>
    <t xml:space="preserve">—</t>
  </si>
  <si>
    <t xml:space="preserve">Creep strain vs time</t>
  </si>
  <si>
    <t xml:space="preserve">not computed</t>
  </si>
  <si>
    <t xml:space="preserve">Note</t>
  </si>
  <si>
    <t xml:space="preserve">Requires alloy/condition/temperature-specific creep curves (ASTM E139); no reliable test data are included, so no calculation is presented rather than an invented one.</t>
  </si>
  <si>
    <t xml:space="preserve">Sheet 6 — Testing-Method Register</t>
  </si>
  <si>
    <t xml:space="preserve">Test methods are kept distinct from product specifications and acceptance criteria. Tests are NOT universally mandatory — requirements come from the drawing, PO, product spec or governing code.</t>
  </si>
  <si>
    <t xml:space="preserve">Test / examination</t>
  </si>
  <si>
    <t xml:space="preserve">Purpose / output</t>
  </si>
  <si>
    <t xml:space="preserve">Applicable materials</t>
  </si>
  <si>
    <t xml:space="preserve">Specimen / sample requirement</t>
  </si>
  <si>
    <t xml:space="preserve">Key limitations</t>
  </si>
  <si>
    <t xml:space="preserve">ASTM reference</t>
  </si>
  <si>
    <t xml:space="preserve">ISO reference</t>
  </si>
  <si>
    <t xml:space="preserve">IS (BIS) reference</t>
  </si>
  <si>
    <t xml:space="preserve">Method vs specification / when appropriate</t>
  </si>
  <si>
    <t xml:space="preserve">Reference verification status</t>
  </si>
  <si>
    <t xml:space="preserve">T01</t>
  </si>
  <si>
    <t xml:space="preserve">Tensile test</t>
  </si>
  <si>
    <t xml:space="preserve">Yield/proof, UTS, elongation, reduction of area, modulus (indirect)</t>
  </si>
  <si>
    <t xml:space="preserve">Metals (all)</t>
  </si>
  <si>
    <t xml:space="preserve">Machined or full-section specimen per method, e.g. round Ø12.5 mm × 50 mm gauge (E8 standard)</t>
  </si>
  <si>
    <t xml:space="preserve">Needs calibrated extensometer for modulus; result depends on orientation, rate, temperature</t>
  </si>
  <si>
    <t xml:space="preserve">ASTM E8/E8M</t>
  </si>
  <si>
    <t xml:space="preserve">ISO 6892-1</t>
  </si>
  <si>
    <t xml:space="preserve">IS 1608 (Part 1)</t>
  </si>
  <si>
    <t xml:space="preserve">Method standard — acceptance limits come from product spec/PO</t>
  </si>
  <si>
    <t xml:space="preserve">T02</t>
  </si>
  <si>
    <t xml:space="preserve">Tensile test (plastics)</t>
  </si>
  <si>
    <t xml:space="preserve">Tensile strength/modulus/elongation of plastics</t>
  </si>
  <si>
    <t xml:space="preserve">Polymers</t>
  </si>
  <si>
    <t xml:space="preserve">Dumbbell (Type I etc.), conditioned</t>
  </si>
  <si>
    <t xml:space="preserve">Rate/moisture sensitive</t>
  </si>
  <si>
    <t xml:space="preserve">ASTM D638</t>
  </si>
  <si>
    <t xml:space="preserve">ISO 527-1/-2</t>
  </si>
  <si>
    <t xml:space="preserve">Method standard; datasheet states conditioning</t>
  </si>
  <si>
    <t xml:space="preserve">T03</t>
  </si>
  <si>
    <t xml:space="preserve">Tensile test (composites)</t>
  </si>
  <si>
    <t xml:space="preserve">In-plane tensile strength/modulus of polymer-matrix composites</t>
  </si>
  <si>
    <t xml:space="preserve">CFRP/GFRP</t>
  </si>
  <si>
    <t xml:space="preserve">Flat coupon with tabs</t>
  </si>
  <si>
    <t xml:space="preserve">Gripping failures; layup-specific</t>
  </si>
  <si>
    <t xml:space="preserve">ASTM D3039</t>
  </si>
  <si>
    <t xml:space="preserve">ISO 527-4/-5</t>
  </si>
  <si>
    <t xml:space="preserve">Method standard</t>
  </si>
  <si>
    <t xml:space="preserve">T04</t>
  </si>
  <si>
    <t xml:space="preserve">HBW — bulk hardness of soft/mid-hard metals, castings</t>
  </si>
  <si>
    <t xml:space="preserve">Steels, cast iron, non-ferrous</t>
  </si>
  <si>
    <t xml:space="preserve">Flat surface; thickness ≥10× indent depth; ball size/force per material</t>
  </si>
  <si>
    <t xml:space="preserve">Not for thin/hard (&gt;650 HBW) parts</t>
  </si>
  <si>
    <t xml:space="preserve">ASTM E10</t>
  </si>
  <si>
    <t xml:space="preserve">ISO 6506-1</t>
  </si>
  <si>
    <t xml:space="preserve">IS 1500 (Part 1)</t>
  </si>
  <si>
    <t xml:space="preserve">Method standard; acceptance hardness from spec</t>
  </si>
  <si>
    <t xml:space="preserve">T05</t>
  </si>
  <si>
    <t xml:space="preserve">Rockwell hardness</t>
  </si>
  <si>
    <t xml:space="preserve">HRB/HRC etc. — rapid hardness</t>
  </si>
  <si>
    <t xml:space="preserve">Steels, Al, Cu alloys</t>
  </si>
  <si>
    <t xml:space="preserve">Smooth surface; thickness ≥10× depth; scale chosen by material</t>
  </si>
  <si>
    <t xml:space="preserve">Scale conversion is approximate</t>
  </si>
  <si>
    <t xml:space="preserve">ASTM E18</t>
  </si>
  <si>
    <t xml:space="preserve">ISO 6508-1</t>
  </si>
  <si>
    <t xml:space="preserve">IS 1586 (Part 1)</t>
  </si>
  <si>
    <t xml:space="preserve">T06</t>
  </si>
  <si>
    <t xml:space="preserve">Vickers hardness</t>
  </si>
  <si>
    <t xml:space="preserve">HV — hardness of thin sections, case depth profiles</t>
  </si>
  <si>
    <t xml:space="preserve">All metals, ceramics (micro)</t>
  </si>
  <si>
    <t xml:space="preserve">Polished surface; diagonals measured</t>
  </si>
  <si>
    <t xml:space="preserve">Microhardness scatter; load effects</t>
  </si>
  <si>
    <t xml:space="preserve">ASTM E92 (macro), E384 (micro)</t>
  </si>
  <si>
    <t xml:space="preserve">ISO 6507-1</t>
  </si>
  <si>
    <t xml:space="preserve">IS 1501 (Part 1) (verify)</t>
  </si>
  <si>
    <t xml:space="preserve">T07</t>
  </si>
  <si>
    <t xml:space="preserve">Hardness conversion</t>
  </si>
  <si>
    <t xml:space="preserve">Approximate conversion between scales/UTS</t>
  </si>
  <si>
    <t xml:space="preserve">Steels</t>
  </si>
  <si>
    <t xml:space="preserve">Approximate only</t>
  </si>
  <si>
    <t xml:space="preserve">ASTM E140; A370</t>
  </si>
  <si>
    <t xml:space="preserve">ISO 18265</t>
  </si>
  <si>
    <t xml:space="preserve">Informative</t>
  </si>
  <si>
    <t xml:space="preserve">T08</t>
  </si>
  <si>
    <t xml:space="preserve">Charpy impact</t>
  </si>
  <si>
    <t xml:space="preserve">Absorbed energy (J), transition behaviour</t>
  </si>
  <si>
    <t xml:space="preserve">Steels (BCC), some others</t>
  </si>
  <si>
    <t xml:space="preserve">10×10×55 mm V-notch typical; temperature-controlled; ≥3 specimens typical</t>
  </si>
  <si>
    <t xml:space="preserve">Subsize specimens need correction; not a design property by itself</t>
  </si>
  <si>
    <t xml:space="preserve">ASTM E23</t>
  </si>
  <si>
    <t xml:space="preserve">ISO 148-1</t>
  </si>
  <si>
    <t xml:space="preserve">IS 1757 (Part 1)</t>
  </si>
  <si>
    <t xml:space="preserve">Method standard; temperature/energy from spec</t>
  </si>
  <si>
    <t xml:space="preserve">T09</t>
  </si>
  <si>
    <t xml:space="preserve">Izod/Charpy for plastics</t>
  </si>
  <si>
    <t xml:space="preserve">Impact resistance of plastics</t>
  </si>
  <si>
    <t xml:space="preserve">Notched specimens</t>
  </si>
  <si>
    <t xml:space="preserve">Notch sensitivity; not directly comparable to metals</t>
  </si>
  <si>
    <t xml:space="preserve">ASTM D256; D6110 (Charpy)</t>
  </si>
  <si>
    <t xml:space="preserve">ISO 180 / 179</t>
  </si>
  <si>
    <t xml:space="preserve">T10</t>
  </si>
  <si>
    <t xml:space="preserve">Bend test</t>
  </si>
  <si>
    <t xml:space="preserve">Ductility/ weld soundness</t>
  </si>
  <si>
    <t xml:space="preserve">Plate, welds</t>
  </si>
  <si>
    <t xml:space="preserve">Guided bend per method</t>
  </si>
  <si>
    <t xml:space="preserve">Qualitative pass/fail</t>
  </si>
  <si>
    <t xml:space="preserve">ASTM E290</t>
  </si>
  <si>
    <t xml:space="preserve">ISO 7438</t>
  </si>
  <si>
    <t xml:space="preserve">IS 1599 (verify)</t>
  </si>
  <si>
    <t xml:space="preserve">T11</t>
  </si>
  <si>
    <t xml:space="preserve">Density measurement</t>
  </si>
  <si>
    <t xml:space="preserve">Bulk density; porosity indication</t>
  </si>
  <si>
    <t xml:space="preserve">Metals, ceramics, polymers</t>
  </si>
  <si>
    <t xml:space="preserve">Archimedes or geometric</t>
  </si>
  <si>
    <t xml:space="preserve">Open porosity affects result</t>
  </si>
  <si>
    <t xml:space="preserve">ASTM B311 (hardmetal), D792 (plastics), C373 (ceramics)</t>
  </si>
  <si>
    <t xml:space="preserve">ISO 1183-1, ISO 3369</t>
  </si>
  <si>
    <t xml:space="preserve">Method standards for different material classes</t>
  </si>
  <si>
    <t xml:space="preserve">T12</t>
  </si>
  <si>
    <t xml:space="preserve">Chemical composition (OES/XRF)</t>
  </si>
  <si>
    <t xml:space="preserve">Chemistry for grade verification</t>
  </si>
  <si>
    <t xml:space="preserve">Metals</t>
  </si>
  <si>
    <t xml:space="preserve">Representative sample/surface prep</t>
  </si>
  <si>
    <t xml:space="preserve">XRF cannot measure C; OES destructive</t>
  </si>
  <si>
    <t xml:space="preserve">ASTM E415 (steel OES), E1086 (stainless OES), E1476 (identification guide)</t>
  </si>
  <si>
    <t xml:space="preserve">ISO 14284 (sampling)</t>
  </si>
  <si>
    <t xml:space="preserve">IS 228 series (verify)</t>
  </si>
  <si>
    <t xml:space="preserve">Method standards; ranges from product spec</t>
  </si>
  <si>
    <t xml:space="preserve">T13</t>
  </si>
  <si>
    <t xml:space="preserve">Interstitial/gas analysis (C, S, N, O, H)</t>
  </si>
  <si>
    <t xml:space="preserve">C/S by combustion; O/N/H by fusion</t>
  </si>
  <si>
    <t xml:space="preserve">Steels, Ti, Ni</t>
  </si>
  <si>
    <t xml:space="preserve">Chip/pin sample</t>
  </si>
  <si>
    <t xml:space="preserve">Needs calibration standards</t>
  </si>
  <si>
    <t xml:space="preserve">ASTM E1019</t>
  </si>
  <si>
    <t xml:space="preserve">ISO 15350</t>
  </si>
  <si>
    <t xml:space="preserve">T14</t>
  </si>
  <si>
    <t xml:space="preserve">Metallographic preparation</t>
  </si>
  <si>
    <t xml:space="preserve">Cutting, mounting, grinding, polishing, etching</t>
  </si>
  <si>
    <t xml:space="preserve">All metals</t>
  </si>
  <si>
    <t xml:space="preserve">Representative section; orientation stated</t>
  </si>
  <si>
    <t xml:space="preserve">Preparation artefacts</t>
  </si>
  <si>
    <t xml:space="preserve">ASTM E3 (guide)</t>
  </si>
  <si>
    <t xml:space="preserve">ISO 4967 (inclusions) related</t>
  </si>
  <si>
    <t xml:space="preserve">Guide, not acceptance criterion</t>
  </si>
  <si>
    <t xml:space="preserve">T15</t>
  </si>
  <si>
    <t xml:space="preserve">Microetching / microstructure</t>
  </si>
  <si>
    <t xml:space="preserve">Reveal phases and grain structure</t>
  </si>
  <si>
    <t xml:space="preserve">Polished specimen + etchant</t>
  </si>
  <si>
    <t xml:space="preserve">Etchant choice crucial</t>
  </si>
  <si>
    <t xml:space="preserve">ASTM E407</t>
  </si>
  <si>
    <t xml:space="preserve">T16</t>
  </si>
  <si>
    <t xml:space="preserve">Grain-size determination</t>
  </si>
  <si>
    <t xml:space="preserve">ASTM grain size number G; intercept/planimetric</t>
  </si>
  <si>
    <t xml:space="preserve">Single-phase metals; steels</t>
  </si>
  <si>
    <t xml:space="preserve">Etched polished section</t>
  </si>
  <si>
    <t xml:space="preserve">Method differs for duplex/lamellar structures</t>
  </si>
  <si>
    <t xml:space="preserve">ASTM E112</t>
  </si>
  <si>
    <t xml:space="preserve">ISO 643</t>
  </si>
  <si>
    <t xml:space="preserve">IS 4748 (verify)</t>
  </si>
  <si>
    <t xml:space="preserve">T17</t>
  </si>
  <si>
    <t xml:space="preserve">Inclusion rating</t>
  </si>
  <si>
    <t xml:space="preserve">Steel cleanliness</t>
  </si>
  <si>
    <t xml:space="preserve">Bearing/gear/spring steels</t>
  </si>
  <si>
    <t xml:space="preserve">Longitudinal section</t>
  </si>
  <si>
    <t xml:space="preserve">Area sampled is tiny</t>
  </si>
  <si>
    <t xml:space="preserve">ASTM E45</t>
  </si>
  <si>
    <t xml:space="preserve">ISO 4967</t>
  </si>
  <si>
    <t xml:space="preserve">Method; limits from spec/PO</t>
  </si>
  <si>
    <t xml:space="preserve">T18</t>
  </si>
  <si>
    <t xml:space="preserve">Case depth / decarburisation</t>
  </si>
  <si>
    <t xml:space="preserve">Effective case depth, decarb depth</t>
  </si>
  <si>
    <t xml:space="preserve">Case-hardened/carbon steels</t>
  </si>
  <si>
    <t xml:space="preserve">Microhardness traverse or microstructure</t>
  </si>
  <si>
    <t xml:space="preserve">Definition of ECD (e.g. 550 HV) must be stated</t>
  </si>
  <si>
    <t xml:space="preserve">ASTM E1077, E384</t>
  </si>
  <si>
    <t xml:space="preserve">ISO 2639, ISO 3754</t>
  </si>
  <si>
    <t xml:space="preserve">Method; depth requirement from drawing</t>
  </si>
  <si>
    <t xml:space="preserve">T19</t>
  </si>
  <si>
    <t xml:space="preserve">Corrosion immersion test</t>
  </si>
  <si>
    <t xml:space="preserve">Mass loss/ corrosion rate</t>
  </si>
  <si>
    <t xml:space="preserve">Cleaned, weighed coupons</t>
  </si>
  <si>
    <t xml:space="preserve">Lab ≠ service</t>
  </si>
  <si>
    <t xml:space="preserve">ASTM G31; G1 (cleaning)</t>
  </si>
  <si>
    <t xml:space="preserve">ISO 8407</t>
  </si>
  <si>
    <t xml:space="preserve">T20</t>
  </si>
  <si>
    <t xml:space="preserve">Intergranular corrosion (austenitic SS)</t>
  </si>
  <si>
    <t xml:space="preserve">Detect sensitisation</t>
  </si>
  <si>
    <t xml:space="preserve">Austenitic SS</t>
  </si>
  <si>
    <t xml:space="preserve">Per practice (A–F)</t>
  </si>
  <si>
    <t xml:space="preserve">Practice selection depends on grade</t>
  </si>
  <si>
    <t xml:space="preserve">ASTM A262</t>
  </si>
  <si>
    <t xml:space="preserve">ISO 3651-2</t>
  </si>
  <si>
    <t xml:space="preserve">Applicable only when specified/required</t>
  </si>
  <si>
    <t xml:space="preserve">T21</t>
  </si>
  <si>
    <t xml:space="preserve">Pitting/crevice corrosion (SS)</t>
  </si>
  <si>
    <t xml:space="preserve">Ranking resistance by FeCl3 test</t>
  </si>
  <si>
    <t xml:space="preserve">Stainless &amp; Ni alloys</t>
  </si>
  <si>
    <t xml:space="preserve">Per method</t>
  </si>
  <si>
    <t xml:space="preserve">Ranking, not life prediction</t>
  </si>
  <si>
    <t xml:space="preserve">ASTM G48</t>
  </si>
  <si>
    <t xml:space="preserve">ISO 17475 (guidance)</t>
  </si>
  <si>
    <t xml:space="preserve">Applicable when pitting is a risk</t>
  </si>
  <si>
    <t xml:space="preserve">T22</t>
  </si>
  <si>
    <t xml:space="preserve">Salt-spray (fog)</t>
  </si>
  <si>
    <t xml:space="preserve">Apparatus practice for accelerated corrosion screening of coatings/materials</t>
  </si>
  <si>
    <t xml:space="preserve">Coated and bare metals</t>
  </si>
  <si>
    <t xml:space="preserve">Panels in neutral salt fog</t>
  </si>
  <si>
    <t xml:space="preserve">Poor correlation to service life; no inherent pass/fail</t>
  </si>
  <si>
    <t xml:space="preserve">ASTM B117</t>
  </si>
  <si>
    <t xml:space="preserve">ISO 9227</t>
  </si>
  <si>
    <t xml:space="preserve">Operating practice; acceptance from coating/product spec</t>
  </si>
  <si>
    <t xml:space="preserve">T23</t>
  </si>
  <si>
    <t xml:space="preserve">Liquid penetrant testing</t>
  </si>
  <si>
    <t xml:space="preserve">Surface-breaking defects in non-porous materials</t>
  </si>
  <si>
    <t xml:space="preserve">Metals (non-porous)</t>
  </si>
  <si>
    <t xml:space="preserve">Clean surface; method/sensitivity per procedure</t>
  </si>
  <si>
    <t xml:space="preserve">Not for porous surfaces; surface-open flaws only</t>
  </si>
  <si>
    <t xml:space="preserve">ASTM E165/E165M; E1417</t>
  </si>
  <si>
    <t xml:space="preserve">ISO 3452-1</t>
  </si>
  <si>
    <t xml:space="preserve">Practice; acceptance from code/spec</t>
  </si>
  <si>
    <t xml:space="preserve">T24</t>
  </si>
  <si>
    <t xml:space="preserve">Magnetic particle testing</t>
  </si>
  <si>
    <t xml:space="preserve">Surface/near-surface flaws in ferromagnetic materials</t>
  </si>
  <si>
    <t xml:space="preserve">Carbon/low-alloy steels, martensitic SS</t>
  </si>
  <si>
    <t xml:space="preserve">Magnetisable part</t>
  </si>
  <si>
    <t xml:space="preserve">Not for austenitic SS, Al, Cu, Ti</t>
  </si>
  <si>
    <t xml:space="preserve">ASTM E1444/E1444M</t>
  </si>
  <si>
    <t xml:space="preserve">ISO 9934-1</t>
  </si>
  <si>
    <t xml:space="preserve">T25</t>
  </si>
  <si>
    <t xml:space="preserve">Ultrasonic testing — welds</t>
  </si>
  <si>
    <t xml:space="preserve">Sub-surface weld flaws by contact UT</t>
  </si>
  <si>
    <t xml:space="preserve">Welded joints</t>
  </si>
  <si>
    <t xml:space="preserve">Calibrated probes/reference blocks</t>
  </si>
  <si>
    <t xml:space="preserve">Operator/ procedure dependent</t>
  </si>
  <si>
    <t xml:space="preserve">ASTM E164 (status to verify)</t>
  </si>
  <si>
    <t xml:space="preserve">ISO 17640</t>
  </si>
  <si>
    <t xml:space="preserve">Practice; acceptance from code</t>
  </si>
  <si>
    <t xml:space="preserve">T26</t>
  </si>
  <si>
    <t xml:space="preserve">Ultrasonic testing — straight beam (bar/plate/forging)</t>
  </si>
  <si>
    <t xml:space="preserve">Internal discontinuities</t>
  </si>
  <si>
    <t xml:space="preserve">Wrought products</t>
  </si>
  <si>
    <t xml:space="preserve">Contact straight-beam procedure</t>
  </si>
  <si>
    <t xml:space="preserve">Orientation sensitivity</t>
  </si>
  <si>
    <t xml:space="preserve">ASTM E114 (verify)</t>
  </si>
  <si>
    <t xml:space="preserve">ISO 16810 (general)</t>
  </si>
  <si>
    <t xml:space="preserve">Practice; acceptance from product spec</t>
  </si>
  <si>
    <t xml:space="preserve">T27</t>
  </si>
  <si>
    <t xml:space="preserve">Radiographic testing</t>
  </si>
  <si>
    <t xml:space="preserve">Volumetric internal flaws (porosity, cracks, inclusions)</t>
  </si>
  <si>
    <t xml:space="preserve">Castings, welds</t>
  </si>
  <si>
    <t xml:space="preserve">Film/digital with image-quality indicators</t>
  </si>
  <si>
    <t xml:space="preserve">Radiation safety; planar flaw orientation</t>
  </si>
  <si>
    <t xml:space="preserve">ASTM E1742/E1742M</t>
  </si>
  <si>
    <t xml:space="preserve">ISO 17636-1</t>
  </si>
  <si>
    <t xml:space="preserve">Practice; acceptance from code/casting spec</t>
  </si>
  <si>
    <t xml:space="preserve">T28</t>
  </si>
  <si>
    <t xml:space="preserve">Creep / stress-rupture</t>
  </si>
  <si>
    <t xml:space="preserve">Creep rate, rupture time</t>
  </si>
  <si>
    <t xml:space="preserve">High-temperature alloys</t>
  </si>
  <si>
    <t xml:space="preserve">Constant load/temperature specimens</t>
  </si>
  <si>
    <t xml:space="preserve">Long duration; extrapolation uncertainty</t>
  </si>
  <si>
    <t xml:space="preserve">ASTM E139</t>
  </si>
  <si>
    <t xml:space="preserve">ISO 204</t>
  </si>
  <si>
    <t xml:space="preserve">Applicable when service ≳0.4 Tm</t>
  </si>
  <si>
    <t xml:space="preserve">T29</t>
  </si>
  <si>
    <t xml:space="preserve">Fatigue (force-controlled)</t>
  </si>
  <si>
    <t xml:space="preserve">S–N behaviour</t>
  </si>
  <si>
    <t xml:space="preserve">Smooth/notched axial specimens</t>
  </si>
  <si>
    <t xml:space="preserve">Surface finish, mean stress, size effects</t>
  </si>
  <si>
    <t xml:space="preserve">ASTM E466</t>
  </si>
  <si>
    <t xml:space="preserve">ISO 1099</t>
  </si>
  <si>
    <t xml:space="preserve">Applicable for cyclic service</t>
  </si>
  <si>
    <t xml:space="preserve">T30</t>
  </si>
  <si>
    <t xml:space="preserve">Fatigue (strain-controlled)</t>
  </si>
  <si>
    <t xml:space="preserve">Low-cycle fatigue</t>
  </si>
  <si>
    <t xml:space="preserve">Axial strain-controlled specimens</t>
  </si>
  <si>
    <t xml:space="preserve">Complex; strain measurement</t>
  </si>
  <si>
    <t xml:space="preserve">ASTM E606/E606M</t>
  </si>
  <si>
    <t xml:space="preserve">ISO 12106</t>
  </si>
  <si>
    <t xml:space="preserve">Applicable for LCF</t>
  </si>
  <si>
    <t xml:space="preserve">T31</t>
  </si>
  <si>
    <t xml:space="preserve">Fatigue crack growth</t>
  </si>
  <si>
    <t xml:space="preserve">da/dN vs ΔK</t>
  </si>
  <si>
    <t xml:space="preserve">Pre-cracked CT/ M(T) specimens</t>
  </si>
  <si>
    <t xml:space="preserve">Lab-to-service transfer</t>
  </si>
  <si>
    <t xml:space="preserve">ASTM E647</t>
  </si>
  <si>
    <t xml:space="preserve">ISO 12108</t>
  </si>
  <si>
    <t xml:space="preserve">Damage-tolerance design</t>
  </si>
  <si>
    <t xml:space="preserve">T32</t>
  </si>
  <si>
    <t xml:space="preserve">Rotating-bending fatigue</t>
  </si>
  <si>
    <t xml:space="preserve">Endurance limit estimation</t>
  </si>
  <si>
    <t xml:space="preserve">Steels, Al</t>
  </si>
  <si>
    <t xml:space="preserve">Rotating beam specimen</t>
  </si>
  <si>
    <t xml:space="preserve">Simplified loading</t>
  </si>
  <si>
    <t xml:space="preserve">ISO 1143</t>
  </si>
  <si>
    <t xml:space="preserve">T33</t>
  </si>
  <si>
    <t xml:space="preserve">Wear testing</t>
  </si>
  <si>
    <t xml:space="preserve">Wear rate/friction</t>
  </si>
  <si>
    <t xml:space="preserve">Metals, polymers, ceramics</t>
  </si>
  <si>
    <t xml:space="preserve">Pin-on-disc etc.</t>
  </si>
  <si>
    <t xml:space="preserve">System-dependent; no universal wear constant</t>
  </si>
  <si>
    <t xml:space="preserve">ASTM G99 (pin-on-disc), G65 (dry sand/rubber wheel), G133</t>
  </si>
  <si>
    <t xml:space="preserve">ISO 20808 (ceramics, verify)</t>
  </si>
  <si>
    <t xml:space="preserve">Test method; results only valid for tested pairing</t>
  </si>
  <si>
    <t xml:space="preserve">T34</t>
  </si>
  <si>
    <t xml:space="preserve">Thermal conductivity / diffusivity</t>
  </si>
  <si>
    <t xml:space="preserve">k, α_th</t>
  </si>
  <si>
    <t xml:space="preserve">All</t>
  </si>
  <si>
    <t xml:space="preserve">Disc (laser flash) or bar (comparative)</t>
  </si>
  <si>
    <t xml:space="preserve">Needs density &amp; Cp</t>
  </si>
  <si>
    <t xml:space="preserve">ASTM E1461 (laser flash), E1225, C177</t>
  </si>
  <si>
    <t xml:space="preserve">ISO 22007-4</t>
  </si>
  <si>
    <t xml:space="preserve">T35</t>
  </si>
  <si>
    <t xml:space="preserve">Thermal expansion</t>
  </si>
  <si>
    <t xml:space="preserve">CTE, dilatometry</t>
  </si>
  <si>
    <t xml:space="preserve">Rod/pushrod or TMA specimen</t>
  </si>
  <si>
    <t xml:space="preserve">Temperature range must be stated</t>
  </si>
  <si>
    <t xml:space="preserve">ASTM E228, E831</t>
  </si>
  <si>
    <t xml:space="preserve">ISO 7991 (glass) / ISO 11359</t>
  </si>
  <si>
    <t xml:space="preserve">T36</t>
  </si>
  <si>
    <t xml:space="preserve">Electrical resistivity / conductivity</t>
  </si>
  <si>
    <t xml:space="preserve">Resistivity (Ω·m), %IACS</t>
  </si>
  <si>
    <t xml:space="preserve">Conductors</t>
  </si>
  <si>
    <t xml:space="preserve">Wire/strip with 4-point measurement</t>
  </si>
  <si>
    <t xml:space="preserve">Temperature correction needed</t>
  </si>
  <si>
    <t xml:space="preserve">ASTM B193</t>
  </si>
  <si>
    <t xml:space="preserve">IEC 60468 (verify)</t>
  </si>
  <si>
    <t xml:space="preserve">T37</t>
  </si>
  <si>
    <t xml:space="preserve">Elastic modulus (dynamic)</t>
  </si>
  <si>
    <t xml:space="preserve">E, G, ν by impulse/resonance</t>
  </si>
  <si>
    <t xml:space="preserve">Metals, ceramics</t>
  </si>
  <si>
    <t xml:space="preserve">Bar/plate specimen</t>
  </si>
  <si>
    <t xml:space="preserve">Frequency/temperature effects</t>
  </si>
  <si>
    <t xml:space="preserve">ASTM E1876, E111</t>
  </si>
  <si>
    <t xml:space="preserve">ISO 12680-1 (verify)</t>
  </si>
  <si>
    <t xml:space="preserve">T38</t>
  </si>
  <si>
    <t xml:space="preserve">Fracture toughness</t>
  </si>
  <si>
    <t xml:space="preserve">KIC, J, CTOD</t>
  </si>
  <si>
    <t xml:space="preserve">Pre-cracked CT/SENB</t>
  </si>
  <si>
    <t xml:space="preserve">Thickness/plane-strain validity limits</t>
  </si>
  <si>
    <t xml:space="preserve">ASTM E399, E1820</t>
  </si>
  <si>
    <t xml:space="preserve">ISO 12135</t>
  </si>
  <si>
    <t xml:space="preserve">Applicable for damage-tolerance/critical parts</t>
  </si>
  <si>
    <t xml:space="preserve">T39</t>
  </si>
  <si>
    <t xml:space="preserve">Flexural strength (ceramics)</t>
  </si>
  <si>
    <t xml:space="preserve">Modulus of rupture at RT</t>
  </si>
  <si>
    <t xml:space="preserve">Advanced ceramics</t>
  </si>
  <si>
    <t xml:space="preserve">Rectangular bars, 3/4-pt</t>
  </si>
  <si>
    <t xml:space="preserve">Weibull scatter; surface-flaw dominated</t>
  </si>
  <si>
    <t xml:space="preserve">ASTM C1161</t>
  </si>
  <si>
    <t xml:space="preserve">ISO 14704</t>
  </si>
  <si>
    <t xml:space="preserve">T40</t>
  </si>
  <si>
    <t xml:space="preserve">Hardness/KIC (ceramics)</t>
  </si>
  <si>
    <t xml:space="preserve">Vickers hardness; fracture toughness</t>
  </si>
  <si>
    <t xml:space="preserve">Ceramics</t>
  </si>
  <si>
    <t xml:space="preserve">Polished surface/SEVNB</t>
  </si>
  <si>
    <t xml:space="preserve">Indentation toughness unreliable</t>
  </si>
  <si>
    <t xml:space="preserve">ASTM C1327, C1421</t>
  </si>
  <si>
    <t xml:space="preserve">ISO 14705, ISO 23146</t>
  </si>
  <si>
    <t xml:space="preserve">T41</t>
  </si>
  <si>
    <t xml:space="preserve">Composite flexural / short-beam</t>
  </si>
  <si>
    <t xml:space="preserve">Flexural and ILSS</t>
  </si>
  <si>
    <t xml:space="preserve">Rectangular coupon</t>
  </si>
  <si>
    <t xml:space="preserve">Short-beam strength is not true shear strength</t>
  </si>
  <si>
    <t xml:space="preserve">ASTM D7264, D2344</t>
  </si>
  <si>
    <t xml:space="preserve">ISO 14125, ISO 14130</t>
  </si>
  <si>
    <t xml:space="preserve">T42</t>
  </si>
  <si>
    <t xml:space="preserve">Composite fibre volume &amp; voids</t>
  </si>
  <si>
    <t xml:space="preserve">Fibre fraction, void content</t>
  </si>
  <si>
    <t xml:space="preserve">Cut samples</t>
  </si>
  <si>
    <t xml:space="preserve">Method choice by fibre/matrix</t>
  </si>
  <si>
    <t xml:space="preserve">ASTM D3171, D2734</t>
  </si>
  <si>
    <t xml:space="preserve">ISO 14127</t>
  </si>
  <si>
    <t xml:space="preserve">T43</t>
  </si>
  <si>
    <t xml:space="preserve">DSC / transformation temperature</t>
  </si>
  <si>
    <t xml:space="preserve">Tg, Tm, crystallinity; NiTi Af</t>
  </si>
  <si>
    <t xml:space="preserve">Polymers, NiTi</t>
  </si>
  <si>
    <t xml:space="preserve">Small sample</t>
  </si>
  <si>
    <t xml:space="preserve">Heating-rate effects</t>
  </si>
  <si>
    <t xml:space="preserve">ASTM E1356, E794, F2004</t>
  </si>
  <si>
    <t xml:space="preserve">ISO 11357</t>
  </si>
  <si>
    <t xml:space="preserve">T44</t>
  </si>
  <si>
    <t xml:space="preserve">Water absorption</t>
  </si>
  <si>
    <t xml:space="preserve">Moisture uptake</t>
  </si>
  <si>
    <t xml:space="preserve">Dried/conditioned specimen</t>
  </si>
  <si>
    <t xml:space="preserve">Time/temperature dependent</t>
  </si>
  <si>
    <t xml:space="preserve">ASTM D570</t>
  </si>
  <si>
    <t xml:space="preserve">ISO 62</t>
  </si>
  <si>
    <t xml:space="preserve">Sheet 7 — Standards Verification (14 supplied + supporting references)</t>
  </si>
  <si>
    <t xml:space="preserve">Full standard texts are paywalled and no network was available: titles/editions are recalled and must be confirmed in the ASTM/BIS catalogue. Nothing is marked Verified.</t>
  </si>
  <si>
    <t xml:space="preserve">Original designation</t>
  </si>
  <si>
    <t xml:space="preserve">Corrected designation</t>
  </si>
  <si>
    <t xml:space="preserve">Official title (recalled)</t>
  </si>
  <si>
    <t xml:space="preserve">Organisation</t>
  </si>
  <si>
    <t xml:space="preserve">Document type</t>
  </si>
  <si>
    <t xml:space="preserve">Revision status</t>
  </si>
  <si>
    <t xml:space="preserve">Latest edition (recalled)</t>
  </si>
  <si>
    <t xml:space="preserve">Scope / applicability</t>
  </si>
  <si>
    <t xml:space="preserve">Supplied-claim issue</t>
  </si>
  <si>
    <t xml:space="preserve">Official source (catalogue home)</t>
  </si>
  <si>
    <t xml:space="preserve">Notes</t>
  </si>
  <si>
    <t xml:space="preserve">S01</t>
  </si>
  <si>
    <t xml:space="preserve">Standard Practice for Operating Salt Spray (Fog) Apparatus</t>
  </si>
  <si>
    <t xml:space="preserve">ASTM</t>
  </si>
  <si>
    <t xml:space="preserve">Practice (apparatus operation)</t>
  </si>
  <si>
    <t xml:space="preserve">Active (recalled)</t>
  </si>
  <si>
    <t xml:space="preserve">B117-19 (recalled)</t>
  </si>
  <si>
    <t xml:space="preserve">Operation of salt-fog apparatus for corrosion screening</t>
  </si>
  <si>
    <t xml:space="preserve">Described as 'salt-spray testing' — it is an apparatus practice; it defines no pass/fail and does not predict service life</t>
  </si>
  <si>
    <t xml:space="preserve">https://www.astm.org/</t>
  </si>
  <si>
    <t xml:space="preserve">Acceptance criteria come from the coating/product spec.</t>
  </si>
  <si>
    <t xml:space="preserve">S02</t>
  </si>
  <si>
    <t xml:space="preserve">ASTM E165/E165M</t>
  </si>
  <si>
    <t xml:space="preserve">ASTM E165/E165M (also see E1417/E1417M)</t>
  </si>
  <si>
    <t xml:space="preserve">Standard Practice for Liquid Penetrant Testing for General Industry (older title used 'Examination')</t>
  </si>
  <si>
    <t xml:space="preserve">Practice</t>
  </si>
  <si>
    <t xml:space="preserve">Active (recalled); title wording changed over revisions</t>
  </si>
  <si>
    <t xml:space="preserve">Not confirmed</t>
  </si>
  <si>
    <t xml:space="preserve">Liquid penetrant testing for general industry (surface-open flaws, non-porous materials)</t>
  </si>
  <si>
    <t xml:space="preserve">Title wording 'examination' may be an older title — confirm current wording</t>
  </si>
  <si>
    <t xml:space="preserve">Full text not examined.</t>
  </si>
  <si>
    <t xml:space="preserve">S03</t>
  </si>
  <si>
    <t xml:space="preserve">Standard Practice for Magnetic Particle Testing (older: 'Examination')</t>
  </si>
  <si>
    <t xml:space="preserve">MT of ferromagnetic materials</t>
  </si>
  <si>
    <t xml:space="preserve">Title wording may differ by edition</t>
  </si>
  <si>
    <t xml:space="preserve">S04</t>
  </si>
  <si>
    <t xml:space="preserve">ASTM E164</t>
  </si>
  <si>
    <t xml:space="preserve">ASTM E164 (status unverified)</t>
  </si>
  <si>
    <t xml:space="preserve">Standard Practice for Contact Ultrasonic Testing of Weldments</t>
  </si>
  <si>
    <t xml:space="preserve">UNVERIFIED — current/withdrawn status could not be confirmed</t>
  </si>
  <si>
    <t xml:space="preserve">Contact UT of weldments</t>
  </si>
  <si>
    <t xml:space="preserve">User flagged 'subject to scope verification' — status itself uncertain</t>
  </si>
  <si>
    <t xml:space="preserve">Check ASTM catalogue before citing; ISO 17640 is the ISO counterpart.</t>
  </si>
  <si>
    <t xml:space="preserve">S05</t>
  </si>
  <si>
    <t xml:space="preserve">Standard Practice for Radiographic Examination</t>
  </si>
  <si>
    <t xml:space="preserve">Radiographic examination of metallic/non-metallic materials</t>
  </si>
  <si>
    <t xml:space="preserve">S06</t>
  </si>
  <si>
    <t xml:space="preserve">ASTM E3</t>
  </si>
  <si>
    <t xml:space="preserve">Standard Guide for Preparation of Metallographic Specimens</t>
  </si>
  <si>
    <t xml:space="preserve">Guide</t>
  </si>
  <si>
    <t xml:space="preserve">E3-11(2017) (recalled)</t>
  </si>
  <si>
    <t xml:space="preserve">Specimen preparation for metallography</t>
  </si>
  <si>
    <t xml:space="preserve">It is a Guide (not a test method)</t>
  </si>
  <si>
    <t xml:space="preserve">Guides give no acceptance criteria.</t>
  </si>
  <si>
    <t xml:space="preserve">S07</t>
  </si>
  <si>
    <t xml:space="preserve">Metallic materials — Tensile testing: Part 1 Method of test at room temperature</t>
  </si>
  <si>
    <t xml:space="preserve">BIS</t>
  </si>
  <si>
    <t xml:space="preserve">Test method</t>
  </si>
  <si>
    <t xml:space="preserve">2022 (recalled)</t>
  </si>
  <si>
    <t xml:space="preserve">Room-temperature tensile test (aligned with ISO 6892-1)</t>
  </si>
  <si>
    <t xml:space="preserve">Part number consistent; elevated temperature is a separate part</t>
  </si>
  <si>
    <t xml:space="preserve">https://www.bis.gov.in/</t>
  </si>
  <si>
    <t xml:space="preserve">Edition year not independently confirmed.</t>
  </si>
  <si>
    <t xml:space="preserve">S08</t>
  </si>
  <si>
    <t xml:space="preserve">Metallic materials — Brinell hardness test: Part 1 Test method</t>
  </si>
  <si>
    <t xml:space="preserve">2019 (recalled)</t>
  </si>
  <si>
    <t xml:space="preserve">Brinell hardness (aligned with ISO 6506-1)</t>
  </si>
  <si>
    <t xml:space="preserve">S09</t>
  </si>
  <si>
    <t xml:space="preserve">Metallic materials — Rockwell hardness test: Part 1 Test method</t>
  </si>
  <si>
    <t xml:space="preserve">2018 (recalled)</t>
  </si>
  <si>
    <t xml:space="preserve">Rockwell hardness (aligned with ISO 6508-1)</t>
  </si>
  <si>
    <t xml:space="preserve">S10</t>
  </si>
  <si>
    <t xml:space="preserve">Metallic materials — Charpy pendulum impact test: Part 1 Test method</t>
  </si>
  <si>
    <t xml:space="preserve">2014 (recalled)</t>
  </si>
  <si>
    <t xml:space="preserve">Charpy pendulum impact (aligned with ISO 148-1)</t>
  </si>
  <si>
    <t xml:space="preserve">S11</t>
  </si>
  <si>
    <t xml:space="preserve">IS 2062:2011 (verify later amendments)</t>
  </si>
  <si>
    <t xml:space="preserve">Hot rolled medium and high tensile structural steel — Specification</t>
  </si>
  <si>
    <t xml:space="preserve">Product specification</t>
  </si>
  <si>
    <t xml:space="preserve">2011 (recalled)</t>
  </si>
  <si>
    <t xml:space="preserve">Grades E250–E650 with quality designations A, BR, B0, C</t>
  </si>
  <si>
    <t xml:space="preserve">Grade designation alone (E250/E350) is incomplete without quality designation</t>
  </si>
  <si>
    <t xml:space="preserve">A product spec, not a test method.</t>
  </si>
  <si>
    <t xml:space="preserve">S12</t>
  </si>
  <si>
    <t xml:space="preserve">IS 210:2009</t>
  </si>
  <si>
    <t xml:space="preserve">Grey iron castings — Specification</t>
  </si>
  <si>
    <t xml:space="preserve">2009 (recalled)</t>
  </si>
  <si>
    <t xml:space="preserve">Grey iron castings FG 150–FG 400</t>
  </si>
  <si>
    <t xml:space="preserve">Product spec — tests reference other IS methods</t>
  </si>
  <si>
    <t xml:space="preserve">S13</t>
  </si>
  <si>
    <t xml:space="preserve">IS 1865</t>
  </si>
  <si>
    <t xml:space="preserve">IS 1865 (latest revision unverified)</t>
  </si>
  <si>
    <t xml:space="preserve">Iron castings with spheroidal or nodular graphite — Specification</t>
  </si>
  <si>
    <t xml:space="preserve">Revision status unverified</t>
  </si>
  <si>
    <t xml:space="preserve">1991 reaffirmed (recalled); newer revision possible</t>
  </si>
  <si>
    <t xml:space="preserve">Spheroidal graphite iron castings</t>
  </si>
  <si>
    <t xml:space="preserve">May have been revised — confirm in BIS catalogue</t>
  </si>
  <si>
    <t xml:space="preserve">Do not cite edition year until verified.</t>
  </si>
  <si>
    <t xml:space="preserve">S14</t>
  </si>
  <si>
    <t xml:space="preserve">IS 6911</t>
  </si>
  <si>
    <t xml:space="preserve">IS 6911:2017</t>
  </si>
  <si>
    <t xml:space="preserve">Stainless steel plate, sheet and strip — Specification</t>
  </si>
  <si>
    <t xml:space="preserve">2017 (recalled)</t>
  </si>
  <si>
    <t xml:space="preserve">Stainless plate, sheet and strip only (not bar/tube)</t>
  </si>
  <si>
    <t xml:space="preserve">Scope limited to flat products</t>
  </si>
  <si>
    <t xml:space="preserve">S15</t>
  </si>
  <si>
    <t xml:space="preserve">Standard Test Methods for Tension Testing of Metallic Materials</t>
  </si>
  <si>
    <t xml:space="preserve">E8/E8M-22 (recalled)</t>
  </si>
  <si>
    <t xml:space="preserve">Metal tensile testing</t>
  </si>
  <si>
    <t xml:space="preserve">Cited for tensile tests.</t>
  </si>
  <si>
    <t xml:space="preserve">S16</t>
  </si>
  <si>
    <t xml:space="preserve">Standard Test Method for Brinell Hardness of Metallic Materials</t>
  </si>
  <si>
    <t xml:space="preserve">S17</t>
  </si>
  <si>
    <t xml:space="preserve">Standard Test Methods for Rockwell Hardness of Metallic Materials</t>
  </si>
  <si>
    <t xml:space="preserve">S18</t>
  </si>
  <si>
    <t xml:space="preserve">Standard Test Methods for Notched Bar Impact Testing of Metallic Materials</t>
  </si>
  <si>
    <t xml:space="preserve">Charpy/Izod for metals</t>
  </si>
  <si>
    <t xml:space="preserve">S19</t>
  </si>
  <si>
    <t xml:space="preserve">Standard Test Methods for Determining Average Grain Size</t>
  </si>
  <si>
    <t xml:space="preserve">Grain size by comparison/intercept/planimetric</t>
  </si>
  <si>
    <t xml:space="preserve">Used in grain-structure sheet.</t>
  </si>
  <si>
    <t xml:space="preserve">S20</t>
  </si>
  <si>
    <t xml:space="preserve">Standard Test Methods for Determining the Inclusion Content of Steel</t>
  </si>
  <si>
    <t xml:space="preserve">S21</t>
  </si>
  <si>
    <t xml:space="preserve">Standard Specification for Chromium and Chromium-Nickel Stainless Steel Plate, Sheet, and Strip for Pressure Vessels and for General Applications</t>
  </si>
  <si>
    <t xml:space="preserve">Stainless plate/sheet/strip</t>
  </si>
  <si>
    <t xml:space="preserve">Property minima used in Sheet 3.</t>
  </si>
  <si>
    <t xml:space="preserve">S22</t>
  </si>
  <si>
    <t xml:space="preserve">Standard Practices for Detecting Susceptibility to Intergranular Attack in Austenitic Stainless Steels</t>
  </si>
  <si>
    <t xml:space="preserve">IGC screening (practices A–F)</t>
  </si>
  <si>
    <t xml:space="preserve">S23</t>
  </si>
  <si>
    <t xml:space="preserve">Standard Specification for Steel Bars, Carbon and Alloy, Hot-Wrought, General Requirements</t>
  </si>
  <si>
    <t xml:space="preserve">Product specification (general requirements)</t>
  </si>
  <si>
    <t xml:space="preserve">Chemistry/tolerances for carbon &amp; alloy bar</t>
  </si>
  <si>
    <t xml:space="preserve">S24</t>
  </si>
  <si>
    <t xml:space="preserve">Standard Test Method for Tensile Properties of Plastics</t>
  </si>
  <si>
    <t xml:space="preserve">Plastics tensile</t>
  </si>
  <si>
    <t xml:space="preserve">S25</t>
  </si>
  <si>
    <t xml:space="preserve">Standard Test Method for Flexural Strength of Advanced Ceramics at Ambient Temperature</t>
  </si>
  <si>
    <t xml:space="preserve">Ceramic flexure</t>
  </si>
  <si>
    <t xml:space="preserve">S26</t>
  </si>
  <si>
    <t xml:space="preserve">ASTM D3039/D3039M</t>
  </si>
  <si>
    <t xml:space="preserve">Standard Test Method for Tensile Properties of Polymer Matrix Composite Materials</t>
  </si>
  <si>
    <t xml:space="preserve">Composite tension</t>
  </si>
  <si>
    <t xml:space="preserve">S27</t>
  </si>
  <si>
    <t xml:space="preserve">Metallic materials — Tensile testing — Part 1: Method of test at room temperature</t>
  </si>
  <si>
    <t xml:space="preserve">ISO</t>
  </si>
  <si>
    <t xml:space="preserve">Counterpart of IS 1608 (Part 1)</t>
  </si>
  <si>
    <t xml:space="preserve">https://www.iso.org/</t>
  </si>
  <si>
    <t xml:space="preserve">Sheet 8 — Errors and Corrections</t>
  </si>
  <si>
    <t xml:space="preserve">Original claim → detected issue → correction. Status shows the verification state of the correction itself.</t>
  </si>
  <si>
    <t xml:space="preserve">Source</t>
  </si>
  <si>
    <t xml:space="preserve">Original claim</t>
  </si>
  <si>
    <t xml:space="preserve">Detected issue / correction</t>
  </si>
  <si>
    <t xml:space="preserve">Technical reasoning</t>
  </si>
  <si>
    <t xml:space="preserve">Downstream effects</t>
  </si>
  <si>
    <t xml:space="preserve">Evidence</t>
  </si>
  <si>
    <t xml:space="preserve">E01</t>
  </si>
  <si>
    <t xml:space="preserve">Upload rows 28–30</t>
  </si>
  <si>
    <t xml:space="preserve">EN8, EN19, EN24 listed as grades</t>
  </si>
  <si>
    <t xml:space="preserve">Legacy BS 970 designations (080M40, 709M40/708M40, 817M40); BS 970 withdrawn/replaced by BS EN 10083</t>
  </si>
  <si>
    <t xml:space="preserve">Designations obsolete; modern grades similar but chemistry/test requirements differ</t>
  </si>
  <si>
    <t xml:space="preserve">No properties assigned to EN8/EN19/EN24; use C45/42CrMo4/34CrNiMo6 with EN 10083 specs</t>
  </si>
  <si>
    <t xml:space="preserve">Recalled standards history (not re-fetched)</t>
  </si>
  <si>
    <t xml:space="preserve">E02</t>
  </si>
  <si>
    <t xml:space="preserve">Upload row 9</t>
  </si>
  <si>
    <t xml:space="preserve">'AISI 1045 / C45' implies equivalence</t>
  </si>
  <si>
    <t xml:space="preserve">Treat as similar, not identical</t>
  </si>
  <si>
    <t xml:space="preserve">AISI/SAE limits (Mn, P, S) differ from EN 10083-2 C45 ranges</t>
  </si>
  <si>
    <t xml:space="preserve">Properties in Sheet 3 recorded for AISI 1045 only</t>
  </si>
  <si>
    <t xml:space="preserve">Recalled chemistry limits</t>
  </si>
  <si>
    <t xml:space="preserve">E03</t>
  </si>
  <si>
    <t xml:space="preserve">Upload row 17</t>
  </si>
  <si>
    <t xml:space="preserve">'AISI 4140 / 42CrMo4'</t>
  </si>
  <si>
    <t xml:space="preserve">Similar, not identical (Cr 0.80–1.10 vs 0.90–1.20; Mo 0.15–0.25 vs 0.15–0.30; Mn 0.75–1.00 vs 0.60–0.90, recalled)</t>
  </si>
  <si>
    <t xml:space="preserve">Different chemistry windows can change hardenability</t>
  </si>
  <si>
    <t xml:space="preserve">Properties recorded for AISI 4140 only</t>
  </si>
  <si>
    <t xml:space="preserve">E04</t>
  </si>
  <si>
    <t xml:space="preserve">Upload row 52</t>
  </si>
  <si>
    <t xml:space="preserve">'AISI 52100 / 100Cr6'</t>
  </si>
  <si>
    <t xml:space="preserve">Close, not identical; verify via ASTM A295 vs ISO 683-17</t>
  </si>
  <si>
    <t xml:space="preserve">Cr/Mn/Si limits differ slightly</t>
  </si>
  <si>
    <t xml:space="preserve">Bearing-grade cleanliness must be specified separately</t>
  </si>
  <si>
    <t xml:space="preserve">Recalled</t>
  </si>
  <si>
    <t xml:space="preserve">E05</t>
  </si>
  <si>
    <t xml:space="preserve">Upload rows 31–44</t>
  </si>
  <si>
    <t xml:space="preserve">'SS 201/304/…' naming</t>
  </si>
  <si>
    <t xml:space="preserve">Use ASTM A240 Type/UNS/EN 10088/IS 6911 designation</t>
  </si>
  <si>
    <t xml:space="preserve">'SS xxx' is not a standard designation system</t>
  </si>
  <si>
    <t xml:space="preserve">Prevents 201/304 mix-ups in procurement</t>
  </si>
  <si>
    <t xml:space="preserve">Recalled UNS numbers</t>
  </si>
  <si>
    <t xml:space="preserve">E06</t>
  </si>
  <si>
    <t xml:space="preserve">Upload rows 23, 24, 55</t>
  </si>
  <si>
    <t xml:space="preserve">40Cr, 20CrMo, 65Mn</t>
  </si>
  <si>
    <t xml:space="preserve">Chinese GB/T designations; no BIS/ASTM equivalence asserted</t>
  </si>
  <si>
    <t xml:space="preserve">Equivalence requires published cross-reference</t>
  </si>
  <si>
    <t xml:space="preserve">No numerical properties recorded</t>
  </si>
  <si>
    <t xml:space="preserve">E07</t>
  </si>
  <si>
    <t xml:space="preserve">Upload rows 91–95, 122, 125, 126, 131, 132</t>
  </si>
  <si>
    <t xml:space="preserve">Trade names (Inconel, Monel, Hastelloy, Nitinol, Hardox)</t>
  </si>
  <si>
    <t xml:space="preserve">Use UNS/ASTM designations; Hardox is SSAB-proprietary</t>
  </si>
  <si>
    <t xml:space="preserve">Trade names are not standards</t>
  </si>
  <si>
    <t xml:space="preserve">Hardox properties = manufacturer datasheet</t>
  </si>
  <si>
    <t xml:space="preserve">E08</t>
  </si>
  <si>
    <t xml:space="preserve">Upload rows 111–121, 123, 124, 129</t>
  </si>
  <si>
    <t xml:space="preserve">Under-specified materials (PET-P, alumina, SiC, ZrO2, Si3N4, CFRP, GFRP, aramid, CoCr, graphite, CuBe)</t>
  </si>
  <si>
    <t xml:space="preserve">Specify exact grade/class (purity, sinter route, layup, ASTM F75/F1537/F90, etc.)</t>
  </si>
  <si>
    <t xml:space="preserve">Properties vary several-fold</t>
  </si>
  <si>
    <t xml:space="preserve">Only indicative ranges recorded, marked Low confidence</t>
  </si>
  <si>
    <t xml:space="preserve">Judgement</t>
  </si>
  <si>
    <t xml:space="preserve">E09</t>
  </si>
  <si>
    <t xml:space="preserve">Upload row 43</t>
  </si>
  <si>
    <t xml:space="preserve">Duplex 2205</t>
  </si>
  <si>
    <t xml:space="preserve">UNS S32205 and older S31803 both exist (S32205 has tighter N/Cr/Mo limits)</t>
  </si>
  <si>
    <t xml:space="preserve">Two UNS numbers cause confusion</t>
  </si>
  <si>
    <t xml:space="preserve">Property row uses S32205 A240 minima</t>
  </si>
  <si>
    <t xml:space="preserve">E10</t>
  </si>
  <si>
    <t xml:space="preserve">Upload row 44</t>
  </si>
  <si>
    <t xml:space="preserve">17-4 PH without condition</t>
  </si>
  <si>
    <t xml:space="preserve">Condition H900–H1150 required</t>
  </si>
  <si>
    <t xml:space="preserve">Strength/toughness vary strongly with ageing</t>
  </si>
  <si>
    <t xml:space="preserve">Property row recorded for H1025 only</t>
  </si>
  <si>
    <t xml:space="preserve">E11</t>
  </si>
  <si>
    <t xml:space="preserve">Upload rows 12–13</t>
  </si>
  <si>
    <t xml:space="preserve">IS 2062 E250/E350 without quality designation</t>
  </si>
  <si>
    <t xml:space="preserve">Add A / BR / B0 / C and thickness band</t>
  </si>
  <si>
    <t xml:space="preserve">Impact and test options depend on designation</t>
  </si>
  <si>
    <t xml:space="preserve">Properties listed as minima for ≤20 mm only</t>
  </si>
  <si>
    <t xml:space="preserve">E12</t>
  </si>
  <si>
    <t xml:space="preserve">Master prompt §5</t>
  </si>
  <si>
    <t xml:space="preserve">ASTM E3 described as 'preparation of metallographic specimens'</t>
  </si>
  <si>
    <t xml:space="preserve">E3 is a Guide</t>
  </si>
  <si>
    <t xml:space="preserve">Guides give recommendations, not acceptance criteria</t>
  </si>
  <si>
    <t xml:space="preserve">Reflected in Standards sheet</t>
  </si>
  <si>
    <t xml:space="preserve">E13</t>
  </si>
  <si>
    <t xml:space="preserve">ASTM B117 as 'salt-spray testing'</t>
  </si>
  <si>
    <t xml:space="preserve">It is an apparatus operating practice</t>
  </si>
  <si>
    <t xml:space="preserve">Does not define pass/fail or predict life</t>
  </si>
  <si>
    <t xml:space="preserve">Never use B117 hours alone as a service-life claim</t>
  </si>
  <si>
    <t xml:space="preserve">E14</t>
  </si>
  <si>
    <t xml:space="preserve">ASTM E165/E165M &amp; E1444/E1444M titles 'examination'</t>
  </si>
  <si>
    <t xml:space="preserve">Current titles use 'testing' (older editions 'examination') — confirm</t>
  </si>
  <si>
    <t xml:space="preserve">Title wording varies by edition</t>
  </si>
  <si>
    <t xml:space="preserve">Titles flagged Conditionally verified</t>
  </si>
  <si>
    <t xml:space="preserve">E15</t>
  </si>
  <si>
    <t xml:space="preserve">ASTM E164 status</t>
  </si>
  <si>
    <t xml:space="preserve">Current/withdrawn status could not be confirmed</t>
  </si>
  <si>
    <t xml:space="preserve">No authoritative access</t>
  </si>
  <si>
    <t xml:space="preserve">Marked Unverified</t>
  </si>
  <si>
    <t xml:space="preserve">E16</t>
  </si>
  <si>
    <t xml:space="preserve">IS 1865 edition not known</t>
  </si>
  <si>
    <t xml:space="preserve">Edition/revision status unverified</t>
  </si>
  <si>
    <t xml:space="preserve">BIS catalogue not accessible</t>
  </si>
  <si>
    <t xml:space="preserve">E17</t>
  </si>
  <si>
    <t xml:space="preserve">Upload test notes</t>
  </si>
  <si>
    <t xml:space="preserve">Tests listed without standards for metals</t>
  </si>
  <si>
    <t xml:space="preserve">Added ASTM/ISO/IS references in Testing Methods</t>
  </si>
  <si>
    <t xml:space="preserve">Improves traceability</t>
  </si>
  <si>
    <t xml:space="preserve">See Sheet 'Testing Methods'</t>
  </si>
  <si>
    <t xml:space="preserve">E18</t>
  </si>
  <si>
    <t xml:space="preserve">Upload (scope)</t>
  </si>
  <si>
    <t xml:space="preserve">No crystal structure/grain/microstructure fields</t>
  </si>
  <si>
    <t xml:space="preserve">Added qualified crystal structure, phases and grain notes</t>
  </si>
  <si>
    <t xml:space="preserve">Requested by user; avoids family-wide single structure</t>
  </si>
  <si>
    <t xml:space="preserve">See 'Grain &amp; Crystal Structure'</t>
  </si>
  <si>
    <t xml:space="preserve">E19</t>
  </si>
  <si>
    <t xml:space="preserve">AM, super-duplex, PH, Indian alloy steels missing</t>
  </si>
  <si>
    <t xml:space="preserve">Added gap-list candidates (not counted in coverage)</t>
  </si>
  <si>
    <t xml:space="preserve">Important for robotics/aerospace/Indian procurement</t>
  </si>
  <si>
    <t xml:space="preserve">Bottom of Master Material Database</t>
  </si>
  <si>
    <t xml:space="preserve">E20</t>
  </si>
  <si>
    <t xml:space="preserve">Master prompt §2</t>
  </si>
  <si>
    <t xml:space="preserve">CTE unit µm/(m·K) = µm/(m·°C)</t>
  </si>
  <si>
    <t xml:space="preserve">Correct for temperature differences</t>
  </si>
  <si>
    <t xml:space="preserve">Kelvin and Celsius intervals are equal</t>
  </si>
  <si>
    <t xml:space="preserve">Unit analysis</t>
  </si>
  <si>
    <t xml:space="preserve">E21</t>
  </si>
  <si>
    <t xml:space="preserve">Master prompt §3</t>
  </si>
  <si>
    <t xml:space="preserve">Supplied formulas (ρ, ΔL, R, σ/ρ, E/ρ)</t>
  </si>
  <si>
    <t xml:space="preserve">Dimensionally correct</t>
  </si>
  <si>
    <t xml:space="preserve">Checked in worksheet with independent recalculation</t>
  </si>
  <si>
    <t xml:space="preserve">See Formulas sheet</t>
  </si>
  <si>
    <t xml:space="preserve">Computed in workbook</t>
  </si>
  <si>
    <t xml:space="preserve">E22</t>
  </si>
  <si>
    <t xml:space="preserve">Master prompt §8</t>
  </si>
  <si>
    <t xml:space="preserve">Target 90–95% verified coverage</t>
  </si>
  <si>
    <t xml:space="preserve">Not achievable in this session: no network/authoritative source access</t>
  </si>
  <si>
    <t xml:space="preserve">Strict coverage counts only items checked against official documents</t>
  </si>
  <si>
    <t xml:space="preserve">Coverage reported as strict and conditional</t>
  </si>
  <si>
    <t xml:space="preserve">Executive Summary</t>
  </si>
  <si>
    <t xml:space="preserve">Sheet 9 — Industry Considerations (reviewer's additions)</t>
  </si>
  <si>
    <t xml:space="preserve">Practical issues that decide real-world material success. Numbers are approximate/typical and marked for verification; this sheet is advisory and excluded from verification coverage.</t>
  </si>
  <si>
    <t xml:space="preserve">Topic</t>
  </si>
  <si>
    <t xml:space="preserve">Category</t>
  </si>
  <si>
    <t xml:space="preserve">Materials affected</t>
  </si>
  <si>
    <t xml:space="preserve">What happens / why it matters</t>
  </si>
  <si>
    <t xml:space="preserve">Typical numbers / limits (approx.)</t>
  </si>
  <si>
    <t xml:space="preserve">Control / mitigation</t>
  </si>
  <si>
    <t xml:space="preserve">Relevant standard / test (verify)</t>
  </si>
  <si>
    <t xml:space="preserve">I01</t>
  </si>
  <si>
    <t xml:space="preserve">Sensitisation / intergranular corrosion</t>
  </si>
  <si>
    <t xml:space="preserve">Corrosion</t>
  </si>
  <si>
    <t xml:space="preserve">Austenitic SS (304, 316, 321 vs L grades)</t>
  </si>
  <si>
    <t xml:space="preserve">Cr carbides precipitate at grain boundaries when held ≈450–850 °C, depleting adjacent Cr</t>
  </si>
  <si>
    <t xml:space="preserve">Risk rises with carbon and exposure time</t>
  </si>
  <si>
    <t xml:space="preserve">Use L or stabilised (321/347) grades; solution anneal after welding if needed</t>
  </si>
  <si>
    <t xml:space="preserve">ASTM A262 (verify practice letter for service)</t>
  </si>
  <si>
    <t xml:space="preserve">Advisory (not counted)</t>
  </si>
  <si>
    <t xml:space="preserve">I02</t>
  </si>
  <si>
    <t xml:space="preserve">Chloride stress-corrosion cracking &amp; pitting</t>
  </si>
  <si>
    <t xml:space="preserve">304/316, duplex, 17-4 PH</t>
  </si>
  <si>
    <t xml:space="preserve">Tensile stress + chlorides + temperature causes cracking; pitting ranks by PREN</t>
  </si>
  <si>
    <t xml:space="preserve">Austenitic SCC concern generally above ≈50–60 °C in chlorides</t>
  </si>
  <si>
    <t xml:space="preserve">Choose duplex/super-duplex/Ni alloys/Ti; reduce stress; coatings</t>
  </si>
  <si>
    <t xml:space="preserve">ASTM G48 (pitting/crevice), G36 (verify)</t>
  </si>
  <si>
    <t xml:space="preserve">I03</t>
  </si>
  <si>
    <t xml:space="preserve">Sigma phase / 475 °C embrittlement</t>
  </si>
  <si>
    <t xml:space="preserve">Metallurgy</t>
  </si>
  <si>
    <t xml:space="preserve">Duplex, ferritic, 310S</t>
  </si>
  <si>
    <t xml:space="preserve">Intermetallic σ (≈600–1000 °C) and α′ (≈400–540 °C) cause toughness loss</t>
  </si>
  <si>
    <t xml:space="preserve">Duplex service limit commonly ≈250–300 °C</t>
  </si>
  <si>
    <t xml:space="preserve">Respect temperature limits; control weld heat input; solution anneal</t>
  </si>
  <si>
    <t xml:space="preserve">Charpy; ASTM A923 (verify)</t>
  </si>
  <si>
    <t xml:space="preserve">I04</t>
  </si>
  <si>
    <t xml:space="preserve">Ductile-to-brittle transition (BCC)</t>
  </si>
  <si>
    <t xml:space="preserve">Fracture</t>
  </si>
  <si>
    <t xml:space="preserve">Carbon/low-alloy steels, ferritic SS, Mo, W</t>
  </si>
  <si>
    <t xml:space="preserve">BCC metals lose toughness at low temperature/high strain rate; FCC (Al, Cu, austenitic, Ni) do not</t>
  </si>
  <si>
    <t xml:space="preserve">Transition temperature depends on grain size, composition, thickness</t>
  </si>
  <si>
    <t xml:space="preserve">Specify impact test temperature; use fine-grain/Ni steels or FCC alloys for cold service</t>
  </si>
  <si>
    <t xml:space="preserve">ASTM E23 / IS 1757 (Part 1) / ISO 148-1</t>
  </si>
  <si>
    <t xml:space="preserve">I05</t>
  </si>
  <si>
    <t xml:space="preserve">Hydrogen embrittlement</t>
  </si>
  <si>
    <t xml:space="preserve">Environment</t>
  </si>
  <si>
    <t xml:space="preserve">High-strength steels, 17-4 PH H900, Ti, some Ni alloys</t>
  </si>
  <si>
    <t xml:space="preserve">Atomic H from plating/pickling/cathodic protection causes delayed brittle fracture</t>
  </si>
  <si>
    <t xml:space="preserve">Susceptibility rises above ≈1000–1200 MPa (≈ &gt;32–35 HRC)</t>
  </si>
  <si>
    <t xml:space="preserve">Baking after plating (e.g. ≈190–220 °C for hours per ASTM B850, verify); limit hardness</t>
  </si>
  <si>
    <t xml:space="preserve">ASTM F519 (verify), B850</t>
  </si>
  <si>
    <t xml:space="preserve">I06</t>
  </si>
  <si>
    <t xml:space="preserve">Temper &amp; tempered-martensite embrittlement</t>
  </si>
  <si>
    <t xml:space="preserve">Heat treatment</t>
  </si>
  <si>
    <t xml:space="preserve">4130/4140/4340, Cr-Ni-Mo steels</t>
  </si>
  <si>
    <t xml:space="preserve">Tempering ≈250–400 °C (TME) or slow-cooling through ≈375–575 °C (temper embrittlement from P, Sn, Sb, As) reduces toughness</t>
  </si>
  <si>
    <t xml:space="preserve">Mo additions reduce susceptibility</t>
  </si>
  <si>
    <t xml:space="preserve">Avoid embrittling temper ranges; cleaner steel; rapid cooling after temper</t>
  </si>
  <si>
    <t xml:space="preserve">Charpy transition curves</t>
  </si>
  <si>
    <t xml:space="preserve">I07</t>
  </si>
  <si>
    <t xml:space="preserve">Weld cold cracking &amp; carbon equivalent</t>
  </si>
  <si>
    <t xml:space="preserve">Welding</t>
  </si>
  <si>
    <t xml:space="preserve">Medium/high-carbon &amp; alloy steels, HSLA</t>
  </si>
  <si>
    <t xml:space="preserve">Hard HAZ + hydrogen + residual stress → cracking</t>
  </si>
  <si>
    <t xml:space="preserve">IIW CE &gt; ≈0.4 raises preheat need (thickness &amp; process dependent)</t>
  </si>
  <si>
    <t xml:space="preserve">Preheat, low-hydrogen consumables, PWHT, interpass control</t>
  </si>
  <si>
    <t xml:space="preserve">EN 1011-2, AWS D1.1 (verify)</t>
  </si>
  <si>
    <t xml:space="preserve">I08</t>
  </si>
  <si>
    <t xml:space="preserve">Weld HAZ softening of aluminium</t>
  </si>
  <si>
    <t xml:space="preserve">6061-T6, 7xxx, 2xxx, work-hardened 5xxx</t>
  </si>
  <si>
    <t xml:space="preserve">Precipitates dissolve/coarsen in HAZ; T6 strength can fall by &gt;40% locally</t>
  </si>
  <si>
    <t xml:space="preserve">Design codes apply HAZ reduction factors</t>
  </si>
  <si>
    <t xml:space="preserve">Design for HAZ strength; post-weld ageing where possible; choose 5xxx for welded structures</t>
  </si>
  <si>
    <t xml:space="preserve">Weld procedure qualification; hardness traverse</t>
  </si>
  <si>
    <t xml:space="preserve">I09</t>
  </si>
  <si>
    <t xml:space="preserve">Stress-corrosion in 7xxx and 2xxx aluminium</t>
  </si>
  <si>
    <t xml:space="preserve">7075-T6, 2024-T3</t>
  </si>
  <si>
    <t xml:space="preserve">SCC in short-transverse grain direction; exfoliation</t>
  </si>
  <si>
    <t xml:space="preserve">T73/T76 overaged tempers resist SCC with strength penalty</t>
  </si>
  <si>
    <t xml:space="preserve">Avoid sustained tensile stress in ST direction; select T73</t>
  </si>
  <si>
    <t xml:space="preserve">ASTM G47, G34 (verify)</t>
  </si>
  <si>
    <t xml:space="preserve">I10</t>
  </si>
  <si>
    <t xml:space="preserve">Galvanic corrosion</t>
  </si>
  <si>
    <t xml:space="preserve">Mg, Al with Cu/steel/CFRP/SS</t>
  </si>
  <si>
    <t xml:space="preserve">Dissimilar metals in electrolyte; carbon fibre is strongly cathodic to Al/Mg/steel</t>
  </si>
  <si>
    <t xml:space="preserve">Area ratio (large cathode/small anode) is worst</t>
  </si>
  <si>
    <t xml:space="preserve">Isolate (sealants/insulating layers), coatings, compatible pairs</t>
  </si>
  <si>
    <t xml:space="preserve">ASTM G71 (verify)</t>
  </si>
  <si>
    <t xml:space="preserve">I11</t>
  </si>
  <si>
    <t xml:space="preserve">Cast iron behaviour</t>
  </si>
  <si>
    <t xml:space="preserve">Design</t>
  </si>
  <si>
    <t xml:space="preserve">Gray &amp; ductile iron</t>
  </si>
  <si>
    <t xml:space="preserve">Gray: low tensile, high compressive (≈3–4× tensile), high damping, notch-insensitive; ductile: notch-sensitive tougher</t>
  </si>
  <si>
    <t xml:space="preserve">Compressive/tensile ratio approximate</t>
  </si>
  <si>
    <t xml:space="preserve">Use ductile iron where shock/tension matter; check section-size effects</t>
  </si>
  <si>
    <t xml:space="preserve">IS 210, IS 1865, EN 1561/1563</t>
  </si>
  <si>
    <t xml:space="preserve">I12</t>
  </si>
  <si>
    <t xml:space="preserve">Casting porosity &amp; fatigue</t>
  </si>
  <si>
    <t xml:space="preserve">Quality</t>
  </si>
  <si>
    <t xml:space="preserve">Al castings, Mg die-cast, Zn die-cast, iron castings</t>
  </si>
  <si>
    <t xml:space="preserve">Pores/oxides act as crack initiators; fatigue life tracks largest defect</t>
  </si>
  <si>
    <t xml:space="preserve">Test bars ≠ casting properties</t>
  </si>
  <si>
    <t xml:space="preserve">HIP, vacuum/low-pressure casting, X-ray/CT acceptance levels</t>
  </si>
  <si>
    <t xml:space="preserve">ASTM E505/E155 (verify) radiographic references</t>
  </si>
  <si>
    <t xml:space="preserve">I13</t>
  </si>
  <si>
    <t xml:space="preserve">Inclusion cleanliness</t>
  </si>
  <si>
    <t xml:space="preserve">Bearing steels, gear steels, spring steels</t>
  </si>
  <si>
    <t xml:space="preserve">Oxide/sulphide inclusions initiate rolling-contact/high-cycle fatigue</t>
  </si>
  <si>
    <t xml:space="preserve">Vacuum degassing/VAR/ESR improve cleanliness</t>
  </si>
  <si>
    <t xml:space="preserve">Specify cleanliness rating &amp; melt route</t>
  </si>
  <si>
    <t xml:space="preserve">ASTM E45, ISO 4967</t>
  </si>
  <si>
    <t xml:space="preserve">I14</t>
  </si>
  <si>
    <t xml:space="preserve">Grain size &amp; grain growth</t>
  </si>
  <si>
    <t xml:space="preserve">All polycrystalline metals</t>
  </si>
  <si>
    <t xml:space="preserve">Fine grain increases yield (Hall–Petch) and toughness; abnormal grain growth after critical strain anneal or overheating</t>
  </si>
  <si>
    <t xml:space="preserve">Coarse grain in Al after small cold work + anneal</t>
  </si>
  <si>
    <t xml:space="preserve">Control normalising/anneal; add grain-refining elements (Al, Nb, Ti, V)</t>
  </si>
  <si>
    <t xml:space="preserve">ASTM E112, E930 (verify)</t>
  </si>
  <si>
    <t xml:space="preserve">I15</t>
  </si>
  <si>
    <t xml:space="preserve">Texture &amp; anisotropy</t>
  </si>
  <si>
    <t xml:space="preserve">Rolled sheet/plate, Mg, Ti, extrusions, CFRP, AM</t>
  </si>
  <si>
    <t xml:space="preserve">Properties differ by direction (L/LT/ST); earing in deep-drawing</t>
  </si>
  <si>
    <t xml:space="preserve">CFRP E1 ≫ E2</t>
  </si>
  <si>
    <t xml:space="preserve">State test direction; use ST data for thick-section design</t>
  </si>
  <si>
    <t xml:space="preserve">ASTM E8 specimen orientation notes; plate L-T/T-L</t>
  </si>
  <si>
    <t xml:space="preserve">I16</t>
  </si>
  <si>
    <t xml:space="preserve">Heat-treatment distortion &amp; quench cracking</t>
  </si>
  <si>
    <t xml:space="preserve">Manufacturing</t>
  </si>
  <si>
    <t xml:space="preserve">Tool steels, alloy steels, carburised parts</t>
  </si>
  <si>
    <t xml:space="preserve">Non-uniform cooling/phase changes cause warpage and cracks</t>
  </si>
  <si>
    <t xml:space="preserve">Air-hardening grades (A2, D2) distort less than water-hardening</t>
  </si>
  <si>
    <t xml:space="preserve">Select quench media/steel grade; stress-relieve before hardening; allow grinding stock</t>
  </si>
  <si>
    <t xml:space="preserve">Dimensional inspection; MPI after grinding</t>
  </si>
  <si>
    <t xml:space="preserve">I17</t>
  </si>
  <si>
    <t xml:space="preserve">Surface engineering</t>
  </si>
  <si>
    <t xml:space="preserve">Steels, Al, Ti</t>
  </si>
  <si>
    <t xml:space="preserve">Carburising ≈880–950 °C; gas nitriding ≈500–550 °C; induction hardening; anodising; hard chrome; PVD/DLC; shot peening improves fatigue</t>
  </si>
  <si>
    <t xml:space="preserve">Process temps approximate</t>
  </si>
  <si>
    <t xml:space="preserve">Specify process, case depth and hardness; control distortion and hydrogen</t>
  </si>
  <si>
    <t xml:space="preserve">ISO 2639 (case depth), ASTM B117 (corrosion screening)</t>
  </si>
  <si>
    <t xml:space="preserve">I18</t>
  </si>
  <si>
    <t xml:space="preserve">Residual stress</t>
  </si>
  <si>
    <t xml:space="preserve">Welds, castings, forgings, AM</t>
  </si>
  <si>
    <t xml:space="preserve">Residual tension lowers fatigue/SCC resistance, causes distortion after machining</t>
  </si>
  <si>
    <t xml:space="preserve">Magnitude can approach yield in welds/AM</t>
  </si>
  <si>
    <t xml:space="preserve">Stress relief, peening, balanced machining</t>
  </si>
  <si>
    <t xml:space="preserve">ASTM E837 hole-drilling (verify), XRD</t>
  </si>
  <si>
    <t xml:space="preserve">I19</t>
  </si>
  <si>
    <t xml:space="preserve">Machinability &amp; ratings</t>
  </si>
  <si>
    <t xml:space="preserve">Steels, brasses, Ti, Ni alloys</t>
  </si>
  <si>
    <t xml:space="preserve">Free-machining C36000 is the 100% reference for copper alloys; AISI 1212 = 100% for steels; Ti/Ni/Inconel machine slowly with tool wear</t>
  </si>
  <si>
    <t xml:space="preserve">Ratings are relative, shop-dependent</t>
  </si>
  <si>
    <t xml:space="preserve">Select grade for process; use coolant/carbide tooling</t>
  </si>
  <si>
    <t xml:space="preserve">Machining trials; ISO 3685 (verify)</t>
  </si>
  <si>
    <t xml:space="preserve">I20</t>
  </si>
  <si>
    <t xml:space="preserve">Galling &amp; wear</t>
  </si>
  <si>
    <t xml:space="preserve">Tribology</t>
  </si>
  <si>
    <t xml:space="preserve">Austenitic SS, Ti, soft Al</t>
  </si>
  <si>
    <t xml:space="preserve">Adhesive wear/seizure between similar metals</t>
  </si>
  <si>
    <t xml:space="preserve">Dissimilar couples, hard coatings, lubrication</t>
  </si>
  <si>
    <t xml:space="preserve">ASTM G98 (galling, verify)</t>
  </si>
  <si>
    <t xml:space="preserve">I21</t>
  </si>
  <si>
    <t xml:space="preserve">Creep &amp; elevated temperature</t>
  </si>
  <si>
    <t xml:space="preserve">718, 625, 310S, 321, H13, Ti (&gt;≈400 °C), Mg (&gt;≈120 °C), Zn, polymers</t>
  </si>
  <si>
    <t xml:space="preserve">Time-dependent strain at ≳0.4 Tm; rupture life by Larson–Miller</t>
  </si>
  <si>
    <t xml:space="preserve">Polymers creep at RT; Zn creeps at RT</t>
  </si>
  <si>
    <t xml:space="preserve">Use creep-rupture data; lower stress; larger sections</t>
  </si>
  <si>
    <t xml:space="preserve">ASTM E139; ISO 204</t>
  </si>
  <si>
    <t xml:space="preserve">I22</t>
  </si>
  <si>
    <t xml:space="preserve">Oxidation &amp; hot corrosion</t>
  </si>
  <si>
    <t xml:space="preserve">High temperature</t>
  </si>
  <si>
    <t xml:space="preserve">Mo, W, Ti, graphite, 310S, Ni alloys</t>
  </si>
  <si>
    <t xml:space="preserve">Mo forms volatile MoO3 in air above ≈500–600 °C; graphite oxidises &gt;≈400–500 °C</t>
  </si>
  <si>
    <t xml:space="preserve">Approximate thresholds</t>
  </si>
  <si>
    <t xml:space="preserve">Inert/vacuum atmosphere or coatings</t>
  </si>
  <si>
    <t xml:space="preserve">Oxidation tests (ASTM G54 verify)</t>
  </si>
  <si>
    <t xml:space="preserve">I23</t>
  </si>
  <si>
    <t xml:space="preserve">Magnesium flammability</t>
  </si>
  <si>
    <t xml:space="preserve">Safety</t>
  </si>
  <si>
    <t xml:space="preserve">Mg alloys</t>
  </si>
  <si>
    <t xml:space="preserve">Fines and chips can ignite; Mg fires need Class D extinguishers</t>
  </si>
  <si>
    <t xml:space="preserve">Dust/chip control, coolant selection, safe storage</t>
  </si>
  <si>
    <t xml:space="preserve">Facility standards (NFPA 484, verify)</t>
  </si>
  <si>
    <t xml:space="preserve">I24</t>
  </si>
  <si>
    <t xml:space="preserve">Beryllium hazard</t>
  </si>
  <si>
    <t xml:space="preserve">Safety / regulatory</t>
  </si>
  <si>
    <t xml:space="preserve">CuBe (C17200)</t>
  </si>
  <si>
    <t xml:space="preserve">Dust/fume inhalation → chronic beryllium disease; machining controls required</t>
  </si>
  <si>
    <t xml:space="preserve">Regulatory exposure limits apply (jurisdiction-specific)</t>
  </si>
  <si>
    <t xml:space="preserve">Local exhaust, wet machining, regulated handling</t>
  </si>
  <si>
    <t xml:space="preserve">OSHA/regulatory rules (jurisdiction)</t>
  </si>
  <si>
    <t xml:space="preserve">I25</t>
  </si>
  <si>
    <t xml:space="preserve">Lead &amp; restricted substances</t>
  </si>
  <si>
    <t xml:space="preserve">Regulatory</t>
  </si>
  <si>
    <t xml:space="preserve">C36000, C93200, solders</t>
  </si>
  <si>
    <t xml:space="preserve">Pb restricted in some drinking-water/RoHS/REACH contexts</t>
  </si>
  <si>
    <t xml:space="preserve">Jurisdiction-specific</t>
  </si>
  <si>
    <t xml:space="preserve">Lead-free alternatives; supplier declarations</t>
  </si>
  <si>
    <t xml:space="preserve">RoHS/REACH (verify scope)</t>
  </si>
  <si>
    <t xml:space="preserve">I26</t>
  </si>
  <si>
    <t xml:space="preserve">Titanium specifics</t>
  </si>
  <si>
    <t xml:space="preserve">Processing</t>
  </si>
  <si>
    <t xml:space="preserve">Ti Gr 2, Ti-6Al-4V</t>
  </si>
  <si>
    <t xml:space="preserve">Alpha case, oxygen/hydrogen pickup, galling, low thermal conductivity machining heat</t>
  </si>
  <si>
    <t xml:space="preserve">Vacuum/inert heat treatment; remove alpha case; sharp tooling</t>
  </si>
  <si>
    <t xml:space="preserve">ASTM B265/F136; ASTM E1409/E1447 (O, H analysis, verify)</t>
  </si>
  <si>
    <t xml:space="preserve">I27</t>
  </si>
  <si>
    <t xml:space="preserve">Nitinol functionality</t>
  </si>
  <si>
    <t xml:space="preserve">NiTi</t>
  </si>
  <si>
    <t xml:space="preserve">Af temperature/superelastic window sets function; fatigue under strain amplitude; welding difficult</t>
  </si>
  <si>
    <t xml:space="preserve">Af shifts by tens °C for ≈1 at% Ni change</t>
  </si>
  <si>
    <t xml:space="preserve">Specify Af; DSC and bend-free-recovery tests</t>
  </si>
  <si>
    <t xml:space="preserve">ASTM F2063, F2004, F2082</t>
  </si>
  <si>
    <t xml:space="preserve">I28</t>
  </si>
  <si>
    <t xml:space="preserve">Polymer moisture, creep, UV</t>
  </si>
  <si>
    <t xml:space="preserve">PA6/PA66, POM, PEEK, PTFE, UHMWPE</t>
  </si>
  <si>
    <t xml:space="preserve">Moisture lowers PA stiffness/strength and changes dimensions; creep under constant load; UV degrades PC/ABS/PE</t>
  </si>
  <si>
    <t xml:space="preserve">PA66 saturation moisture several % — datasheet dependent</t>
  </si>
  <si>
    <t xml:space="preserve">Use conditioned data (e.g. 50% RH), reinforcement, design for creep</t>
  </si>
  <si>
    <t xml:space="preserve">ASTM D570, D638, D2990 (verify)</t>
  </si>
  <si>
    <t xml:space="preserve">I29</t>
  </si>
  <si>
    <t xml:space="preserve">Ceramic design</t>
  </si>
  <si>
    <t xml:space="preserve">Al2O3, SiC, ZrO2, Si3N4</t>
  </si>
  <si>
    <t xml:space="preserve">Strength is statistical (Weibull); contact stress and thermal shock govern failures; compression ≫ tension</t>
  </si>
  <si>
    <t xml:space="preserve">Weibull modulus m typically ≈5–15 for engineering ceramics</t>
  </si>
  <si>
    <t xml:space="preserve">Design for compression, avoid stress concentrators, proof test</t>
  </si>
  <si>
    <t xml:space="preserve">ASTM C1161, C1239 (Weibull, verify)</t>
  </si>
  <si>
    <t xml:space="preserve">I30</t>
  </si>
  <si>
    <t xml:space="preserve">Composites damage tolerance</t>
  </si>
  <si>
    <t xml:space="preserve">Delamination and barely visible impact damage reduce compression strength; moisture lowers matrix-dominated properties</t>
  </si>
  <si>
    <t xml:space="preserve">Damage-tolerance design, NDT (UT/thermography), conditioning tests</t>
  </si>
  <si>
    <t xml:space="preserve">ASTM D7136, D7137 (verify)</t>
  </si>
  <si>
    <t xml:space="preserve">I31</t>
  </si>
  <si>
    <t xml:space="preserve">Additive manufacturing qualification</t>
  </si>
  <si>
    <t xml:space="preserve">L-PBF metals</t>
  </si>
  <si>
    <t xml:space="preserve">Build orientation anisotropy, porosity, rough surface, powder reuse (O/N pickup), residual stress</t>
  </si>
  <si>
    <t xml:space="preserve">Stress relief, HIP, machining critical surfaces, lot/powder traceability</t>
  </si>
  <si>
    <t xml:space="preserve">ISO/ASTM 52900 terms; ASTM F3122 (verify)</t>
  </si>
  <si>
    <t xml:space="preserve">I32</t>
  </si>
  <si>
    <t xml:space="preserve">Certificates &amp; grade mix-ups</t>
  </si>
  <si>
    <t xml:space="preserve">Procurement</t>
  </si>
  <si>
    <t xml:space="preserve">All; esp. SS 201/304/316, alloy bars</t>
  </si>
  <si>
    <t xml:space="preserve">EN 10204 3.1/3.2 MTC gives chemistry/mechanical results; mislabelled stainless is a known risk; magnet test cannot separate 201/304/316</t>
  </si>
  <si>
    <t xml:space="preserve">Verify MTC vs heat number; PMI (XRF/OES); independent lab tests for critical parts</t>
  </si>
  <si>
    <t xml:space="preserve">EN 10204; ASTM E1476 (verify)</t>
  </si>
  <si>
    <t xml:space="preserve">I33</t>
  </si>
  <si>
    <t xml:space="preserve">Standards equivalence caution</t>
  </si>
  <si>
    <t xml:space="preserve">IS, ASTM, EN, ISO, JIS, GB grades are NOT equivalent unless the standards state it; chemistry, tolerances, test requirements differ</t>
  </si>
  <si>
    <t xml:space="preserve">Name the exact standard/edition/grade/condition on the PO</t>
  </si>
  <si>
    <t xml:space="preserve">BIS/ASTM/ISO catalogues</t>
  </si>
  <si>
    <t xml:space="preserve">I34</t>
  </si>
  <si>
    <t xml:space="preserve">Cost, supply &amp; sustainability</t>
  </si>
  <si>
    <t xml:space="preserve">Business</t>
  </si>
  <si>
    <t xml:space="preserve">Ni, Co, Mo, Ti alloys; Al; steels</t>
  </si>
  <si>
    <t xml:space="preserve">Alloy-element price volatility (Ni, Co, Mo) drives cost; recycled Al uses a small fraction of primary-Al energy (commonly cited ≈5%); steel EAF vs BF route changes embodied CO2</t>
  </si>
  <si>
    <t xml:space="preserve">Not verified numerically here</t>
  </si>
  <si>
    <t xml:space="preserve">Get live quotes; check recycled content/EPDs; dual-source grades</t>
  </si>
  <si>
    <t xml:space="preserve">Supplier EPDs (ISO 14025, verify)</t>
  </si>
  <si>
    <t xml:space="preserve">I35</t>
  </si>
  <si>
    <t xml:space="preserve">Export control / regulated alloys</t>
  </si>
  <si>
    <t xml:space="preserve">Ti alloys, Ni superalloys, Be, composites</t>
  </si>
  <si>
    <t xml:space="preserve">Some alloys/forms are export-controlled or require end-use declarations</t>
  </si>
  <si>
    <t xml:space="preserve">Check regulations before export/import</t>
  </si>
  <si>
    <t xml:space="preserve">Sheet 10 — Material Selection Report</t>
  </si>
  <si>
    <t xml:space="preserve">Selection is multi-criteria: strength alone never decides. Cost entries are qualitative and unverified. Candidates are options, not recommendations without application data.</t>
  </si>
  <si>
    <t xml:space="preserve">Application</t>
  </si>
  <si>
    <t xml:space="preserve">Governing criteria</t>
  </si>
  <si>
    <t xml:space="preserve">Candidate (condition)</t>
  </si>
  <si>
    <t xml:space="preserve">Advantages</t>
  </si>
  <si>
    <t xml:space="preserve">Trade-offs / risks</t>
  </si>
  <si>
    <t xml:space="preserve">Required verification tests</t>
  </si>
  <si>
    <t xml:space="preserve">Cost note (qualitative, unverified)</t>
  </si>
  <si>
    <t xml:space="preserve">Robot chassis</t>
  </si>
  <si>
    <t xml:space="preserve">Stiffness-to-weight, weldability/joining, cost, vibration</t>
  </si>
  <si>
    <t xml:space="preserve">6061-T6 plate/extrusion</t>
  </si>
  <si>
    <t xml:space="preserve">Good E/ρ, machinable, corrosion-resistant, widely available</t>
  </si>
  <si>
    <t xml:space="preserve">Weld HAZ softening; lower fatigue strength than steel</t>
  </si>
  <si>
    <t xml:space="preserve">Tensile/hardness on lot; weld NDT; modal/vibration test</t>
  </si>
  <si>
    <t xml:space="preserve">Low–medium (qualitative, unverified)</t>
  </si>
  <si>
    <t xml:space="preserve">(as above)</t>
  </si>
  <si>
    <t xml:space="preserve">5052-H32 / 5083 sheet</t>
  </si>
  <si>
    <t xml:space="preserve">Formable, weldable, good corrosion resistance</t>
  </si>
  <si>
    <t xml:space="preserve">Lower strength than 6061-T6</t>
  </si>
  <si>
    <t xml:space="preserve">Bend test; weld inspection</t>
  </si>
  <si>
    <t xml:space="preserve">Low–medium</t>
  </si>
  <si>
    <t xml:space="preserve">CFRP laminate/sandwich</t>
  </si>
  <si>
    <t xml:space="preserve">Highest specific stiffness; low mass</t>
  </si>
  <si>
    <t xml:space="preserve">Cost, joining, damage tolerance, galvanic with Al</t>
  </si>
  <si>
    <t xml:space="preserve">D3039/D7264/D2344 coupons; UT/thermography</t>
  </si>
  <si>
    <t xml:space="preserve">IS 2062 E250 / A36 steel</t>
  </si>
  <si>
    <t xml:space="preserve">Lowest cost, easy welding, stiff</t>
  </si>
  <si>
    <t xml:space="preserve">Heavy; corrosion protection needed</t>
  </si>
  <si>
    <t xml:space="preserve">Tensile/MTC; weld NDT</t>
  </si>
  <si>
    <t xml:space="preserve">Robotic arm</t>
  </si>
  <si>
    <t xml:space="preserve">Stiffness (deflection), mass, fatigue, repeatability</t>
  </si>
  <si>
    <t xml:space="preserve">7075-T6 / 6061-T6</t>
  </si>
  <si>
    <t xml:space="preserve">Light, strong; 6061 weldable</t>
  </si>
  <si>
    <t xml:space="preserve">7075 SCC-sensitive, not fusion-weldable</t>
  </si>
  <si>
    <t xml:space="preserve">Tensile/hardness; conductivity temper check</t>
  </si>
  <si>
    <t xml:space="preserve">CFRP tubes</t>
  </si>
  <si>
    <t xml:space="preserve">High specific stiffness, damping</t>
  </si>
  <si>
    <t xml:space="preserve">Impact damage, joints, cost</t>
  </si>
  <si>
    <t xml:space="preserve">D3039/D7264; ILSS; NDT</t>
  </si>
  <si>
    <t xml:space="preserve">Ti-6Al-4V</t>
  </si>
  <si>
    <t xml:space="preserve">High specific strength, corrosion resistance</t>
  </si>
  <si>
    <t xml:space="preserve">Low stiffness vs steel at same section, cost</t>
  </si>
  <si>
    <t xml:space="preserve">Tensile, microstructure, fatigue</t>
  </si>
  <si>
    <t xml:space="preserve">Shaft</t>
  </si>
  <si>
    <t xml:space="preserve">Fatigue strength, torsion, notch sensitivity, wear/corrosion</t>
  </si>
  <si>
    <t xml:space="preserve">AISI 1045 / C45 (Q&amp;T)</t>
  </si>
  <si>
    <t xml:space="preserve">Economical, machinable</t>
  </si>
  <si>
    <t xml:space="preserve">Moderate hardenability</t>
  </si>
  <si>
    <t xml:space="preserve">Tensile, hardness, impact if specified</t>
  </si>
  <si>
    <t xml:space="preserve">AISI 4140 / 42CrMo4 or 4340 (Q&amp;T)</t>
  </si>
  <si>
    <t xml:space="preserve">High strength/toughness; deeper hardening</t>
  </si>
  <si>
    <t xml:space="preserve">Temper embrittlement/H2 risk at high strength</t>
  </si>
  <si>
    <t xml:space="preserve">Tensile, Charpy, hardness; UT/MPI for critical bars</t>
  </si>
  <si>
    <t xml:space="preserve">17-4 PH H1025 / 316L</t>
  </si>
  <si>
    <t xml:space="preserve">Corrosion resistance (17-4 strong, 316L weak)</t>
  </si>
  <si>
    <t xml:space="preserve">316L low strength; 17-4 SCC risk in some tempers</t>
  </si>
  <si>
    <t xml:space="preserve">Tensile, hardness, corrosion test per service</t>
  </si>
  <si>
    <t xml:space="preserve">Medium–high</t>
  </si>
  <si>
    <t xml:space="preserve">Gear</t>
  </si>
  <si>
    <t xml:space="preserve">Contact &amp; bending fatigue, hardness, wear, quiet running</t>
  </si>
  <si>
    <t xml:space="preserve">8620 / 20MnCr5 / 16MnCr5 (carburised)</t>
  </si>
  <si>
    <t xml:space="preserve">Hard case + tough core</t>
  </si>
  <si>
    <t xml:space="preserve">Distortion; case-depth control</t>
  </si>
  <si>
    <t xml:space="preserve">Case depth, core hardness, microstructure, MPI after grinding</t>
  </si>
  <si>
    <t xml:space="preserve">18CrNiMo7-6 / 9310 (carburised)</t>
  </si>
  <si>
    <t xml:space="preserve">Heavy-duty gears, high core toughness</t>
  </si>
  <si>
    <t xml:space="preserve">Cost, heat-treat complexity</t>
  </si>
  <si>
    <t xml:space="preserve">As above + cleanliness</t>
  </si>
  <si>
    <t xml:space="preserve">POM / PA66 (light duty)</t>
  </si>
  <si>
    <t xml:space="preserve">Low noise, self-lubricating</t>
  </si>
  <si>
    <t xml:space="preserve">Creep, temperature, moisture</t>
  </si>
  <si>
    <t xml:space="preserve">Wear/creep test; D638 (conditioned)</t>
  </si>
  <si>
    <t xml:space="preserve">Bearing</t>
  </si>
  <si>
    <t xml:space="preserve">Rolling-contact fatigue, hardness, cleanliness, dimensional stability</t>
  </si>
  <si>
    <t xml:space="preserve">52100 / 100Cr6</t>
  </si>
  <si>
    <t xml:space="preserve">Industry standard bearing steel</t>
  </si>
  <si>
    <t xml:space="preserve">Limited corrosion resistance</t>
  </si>
  <si>
    <t xml:space="preserve">Hardness, microstructure, cleanliness; bearing life test</t>
  </si>
  <si>
    <t xml:space="preserve">440C stainless</t>
  </si>
  <si>
    <t xml:space="preserve">Hardness + moderate corrosion resistance</t>
  </si>
  <si>
    <t xml:space="preserve">Lower life than 52100 in many cases</t>
  </si>
  <si>
    <t xml:space="preserve">Hardness, microstructure</t>
  </si>
  <si>
    <t xml:space="preserve">Si3N4 hybrid / C93200 bushings / PTFE-PEEK liners</t>
  </si>
  <si>
    <t xml:space="preserve">Si3N4: low density, non-magnetic; bronze: sliding; polymers: dry running</t>
  </si>
  <si>
    <t xml:space="preserve">Ceramic brittleness; bronze load/speed limits</t>
  </si>
  <si>
    <t xml:space="preserve">Weibull/proof test; wear test (G99 etc.)</t>
  </si>
  <si>
    <t xml:space="preserve">Welded structure</t>
  </si>
  <si>
    <t xml:space="preserve">Weldability, toughness, CE, thickness effects</t>
  </si>
  <si>
    <t xml:space="preserve">IS 2062 E250/E350, A36, A572 Gr 50</t>
  </si>
  <si>
    <t xml:space="preserve">Economical, code-based</t>
  </si>
  <si>
    <t xml:space="preserve">Need quality designation, thickness and impact specs</t>
  </si>
  <si>
    <t xml:space="preserve">MTC, CE, Charpy, weld NDT (MT/UT/RT)</t>
  </si>
  <si>
    <t xml:space="preserve">304L/316L, 2205</t>
  </si>
  <si>
    <t xml:space="preserve">Corrosion resistance</t>
  </si>
  <si>
    <t xml:space="preserve">Sensitisation, HAZ issues, distortion</t>
  </si>
  <si>
    <t xml:space="preserve">PMI, IGC/pitting tests where required</t>
  </si>
  <si>
    <t xml:space="preserve">5083 / 5052; 6061 (with HAZ reduction)</t>
  </si>
  <si>
    <t xml:space="preserve">Light, good corrosion resistance</t>
  </si>
  <si>
    <t xml:space="preserve">HAZ strength loss in 6061</t>
  </si>
  <si>
    <t xml:space="preserve">Weld procedure qualification, hardness traverse</t>
  </si>
  <si>
    <t xml:space="preserve">Corrosion-exposed component</t>
  </si>
  <si>
    <t xml:space="preserve">Environment (Cl⁻, pH, T), galvanic, SCC</t>
  </si>
  <si>
    <t xml:space="preserve">316L / 2205 / 2507</t>
  </si>
  <si>
    <t xml:space="preserve">PREN ranking; duplex stronger</t>
  </si>
  <si>
    <t xml:space="preserve">SCC/pitting limits; cost</t>
  </si>
  <si>
    <t xml:space="preserve">ASTM G48, A262 as applicable</t>
  </si>
  <si>
    <t xml:space="preserve">Ti Grade 2 / Ni alloys (625, C-276, Monel 400) / C95400</t>
  </si>
  <si>
    <t xml:space="preserve">Excellent seawater/chemical resistance</t>
  </si>
  <si>
    <t xml:space="preserve">High cost; galvanic couples</t>
  </si>
  <si>
    <t xml:space="preserve">Coupon immersion; crevice tests</t>
  </si>
  <si>
    <t xml:space="preserve">High-temperature component</t>
  </si>
  <si>
    <t xml:space="preserve">Creep, oxidation, thermal fatigue, cost</t>
  </si>
  <si>
    <t xml:space="preserve">IN718 / IN625 / 310S / 321</t>
  </si>
  <si>
    <t xml:space="preserve">IN718 high strength to ≈650 °C; 310S oxidation resistance</t>
  </si>
  <si>
    <t xml:space="preserve">Cost; machinability; creep data required</t>
  </si>
  <si>
    <t xml:space="preserve">Creep (E139), tensile at T, oxidation</t>
  </si>
  <si>
    <t xml:space="preserve">H13 (hot-work tooling), SiC/Si3N4</t>
  </si>
  <si>
    <t xml:space="preserve">H13 thermal-fatigue resistance; ceramics for extreme temperature</t>
  </si>
  <si>
    <t xml:space="preserve">Brittleness of ceramics; H13 heat-check</t>
  </si>
  <si>
    <t xml:space="preserve">Hardness, thermal-fatigue/shock tests</t>
  </si>
  <si>
    <t xml:space="preserve">Mo / W (inert atmosphere only)</t>
  </si>
  <si>
    <t xml:space="preserve">Very high melting point</t>
  </si>
  <si>
    <t xml:space="preserve">Oxidise in air; brittle near RT</t>
  </si>
  <si>
    <t xml:space="preserve">Atmosphere control, bend/tensile</t>
  </si>
  <si>
    <t xml:space="preserve">Performance indices (formula-driven from Sheet 3) — stiffness- or strength-limited lightweight design</t>
  </si>
  <si>
    <t xml:space="preserve">E^½/ρ: stiffness-limited light beam; σ^⅔/ρ: strength-limited light beam; E/ρ: stiffness-limited tie/column. CFRP is valid along fibres only. Strength = YS where available, else UTS. Higher is better.</t>
  </si>
  <si>
    <t xml:space="preserve">Material</t>
  </si>
  <si>
    <t xml:space="preserve">Condition</t>
  </si>
  <si>
    <t xml:space="preserve">ρ (Mg/m³)</t>
  </si>
  <si>
    <t xml:space="preserve">E (GPa)</t>
  </si>
  <si>
    <t xml:space="preserve">Strength σ (MPa)</t>
  </si>
  <si>
    <t xml:space="preserve">E^½/ρ</t>
  </si>
  <si>
    <t xml:space="preserve">σ^⅔/ρ</t>
  </si>
  <si>
    <t xml:space="preserve">σ/ρ (MPa per Mg/m³)</t>
  </si>
  <si>
    <t xml:space="preserve">Rank E^½/ρ</t>
  </si>
  <si>
    <t xml:space="preserve">Rank σ^⅔/ρ</t>
  </si>
  <si>
    <t xml:space="preserve">Sheet 11 — Sources, Assumptions, Unresolved Items</t>
  </si>
  <si>
    <t xml:space="preserve">Used for</t>
  </si>
  <si>
    <t xml:space="preserve">Official URL (home page — search by designation)</t>
  </si>
  <si>
    <t xml:space="preserve">Access note</t>
  </si>
  <si>
    <t xml:space="preserve">ASTM International</t>
  </si>
  <si>
    <t xml:space="preserve">Standards catalogue (titles, editions, status)</t>
  </si>
  <si>
    <t xml:space="preserve">Standard texts are paywalled; only catalogue entries accessible online — not accessed in this session</t>
  </si>
  <si>
    <t xml:space="preserve">Bureau of Indian Standards (BIS)</t>
  </si>
  <si>
    <t xml:space="preserve">IS catalogue / standards portal</t>
  </si>
  <si>
    <t xml:space="preserve">Search IS number in the BIS catalogue — not accessed in this session</t>
  </si>
  <si>
    <t xml:space="preserve">ISO standards catalogue</t>
  </si>
  <si>
    <t xml:space="preserve">Not accessed in this session</t>
  </si>
  <si>
    <t xml:space="preserve">ASM International</t>
  </si>
  <si>
    <t xml:space="preserve">ASM Handbooks (property data)</t>
  </si>
  <si>
    <t xml:space="preserve">https://www.asminternational.org/</t>
  </si>
  <si>
    <t xml:space="preserve">Values recalled from general handbook knowledge, not re-fetched</t>
  </si>
  <si>
    <t xml:space="preserve">MatWeb</t>
  </si>
  <si>
    <t xml:space="preserve">Typical material datasheets</t>
  </si>
  <si>
    <t xml:space="preserve">https://www.matweb.com/</t>
  </si>
  <si>
    <t xml:space="preserve">Values recalled, not re-fetched</t>
  </si>
  <si>
    <t xml:space="preserve">NIST</t>
  </si>
  <si>
    <t xml:space="preserve">Reference data</t>
  </si>
  <si>
    <t xml:space="preserve">https://www.nist.gov/</t>
  </si>
  <si>
    <t xml:space="preserve">Not accessed</t>
  </si>
  <si>
    <t xml:space="preserve">The Aluminum Association</t>
  </si>
  <si>
    <t xml:space="preserve">Alloy/temper designations</t>
  </si>
  <si>
    <t xml:space="preserve">https://www.aluminum.org/</t>
  </si>
  <si>
    <t xml:space="preserve">SSAB (Hardox)</t>
  </si>
  <si>
    <t xml:space="preserve">Manufacturer datasheets</t>
  </si>
  <si>
    <t xml:space="preserve">https://www.ssab.com/</t>
  </si>
  <si>
    <t xml:space="preserve">Manufacturer values change by revision; verify current datasheet</t>
  </si>
  <si>
    <t xml:space="preserve">Special Metals</t>
  </si>
  <si>
    <t xml:space="preserve">Ni-alloy datasheets</t>
  </si>
  <si>
    <t xml:space="preserve">https://www.specialmetals.com/</t>
  </si>
  <si>
    <t xml:space="preserve">Assumptions &amp; status definitions</t>
  </si>
  <si>
    <t xml:space="preserve">A1</t>
  </si>
  <si>
    <t xml:space="preserve">No network or authoritative-document access was available in this session; all property values and standard information were recalled from training knowledge and marked Conditionally verified or Unverified accordingly. Nothing is marked 'Verified' except arithmetic and unit checks.</t>
  </si>
  <si>
    <t xml:space="preserve">A2</t>
  </si>
  <si>
    <t xml:space="preserve">'Verified' = checked against an authoritative source or independently recalculated; 'Conditionally verified' = consistent with recalled handbook/standard information but not checked against the document; 'Unverified' = cannot be confirmed or under-specified; 'Incorrect' = supplied claim contains an error.</t>
  </si>
  <si>
    <t xml:space="preserve">A3</t>
  </si>
  <si>
    <t xml:space="preserve">Values labelled Typical are handbook-type figures; values labelled Specified minimum come from product standards and are not guaranteed design allowables.</t>
  </si>
  <si>
    <t xml:space="preserve">A4</t>
  </si>
  <si>
    <t xml:space="preserve">All property values are room-temperature unless stated; test temperature column supplied.</t>
  </si>
  <si>
    <t xml:space="preserve">A5</t>
  </si>
  <si>
    <t xml:space="preserve">Specific strength uses UTS if present, otherwise YS; specific stiffness uses E. Shear modulus is derived assuming isotropy.</t>
  </si>
  <si>
    <t xml:space="preserve">A6</t>
  </si>
  <si>
    <t xml:space="preserve">Hall–Petch, Goodman, Archard and Larson–Miller worked examples use illustrative assumed parameters (labelled) — not fitted to a specific dataset.</t>
  </si>
  <si>
    <t xml:space="preserve">A7</t>
  </si>
  <si>
    <t xml:space="preserve">Gap-list grades are suggestions and are excluded from coverage counts.</t>
  </si>
  <si>
    <t xml:space="preserve">A8</t>
  </si>
  <si>
    <t xml:space="preserve">Cost entries are qualitative and unverified.</t>
  </si>
  <si>
    <t xml:space="preserve">Unresolved items</t>
  </si>
  <si>
    <t xml:space="preserve">U1</t>
  </si>
  <si>
    <t xml:space="preserve">Confirm current/withdrawn status of ASTM E164.</t>
  </si>
  <si>
    <t xml:space="preserve">U2</t>
  </si>
  <si>
    <t xml:space="preserve">Confirm current edition/revision status of IS 1865 and all IS edition years in Standards sheet.</t>
  </si>
  <si>
    <t xml:space="preserve">U3</t>
  </si>
  <si>
    <t xml:space="preserve">Check exact current titles (E165/E165M, E1444/E1444M, E1742/E1742M) in the ASTM catalogue.</t>
  </si>
  <si>
    <t xml:space="preserve">U4</t>
  </si>
  <si>
    <t xml:space="preserve">Re-fetch grade-specific property values from ASM/manufacturer datasheets and record publication dates.</t>
  </si>
  <si>
    <t xml:space="preserve">U5</t>
  </si>
  <si>
    <t xml:space="preserve">Resolve under-specified materials (ceramics, composites, CoCr, graphite, CuBe) by choosing exact grades.</t>
  </si>
  <si>
    <t xml:space="preserve">U6</t>
  </si>
  <si>
    <t xml:space="preserve">Add fatigue, impact and fracture-toughness values with test conditions for critical grades.</t>
  </si>
  <si>
    <t xml:space="preserve">Colour legend</t>
  </si>
  <si>
    <t xml:space="preserve">Sourced / recalled value</t>
  </si>
  <si>
    <t xml:space="preserve">Assumed input (editable)</t>
  </si>
  <si>
    <t xml:space="preserve">Linked from another sheet</t>
  </si>
  <si>
    <t xml:space="preserve">Calculated by formula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</si>
</sst>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General"/>
    <numFmt numFmtId="167" formatCode="0.0%"/>
    <numFmt numFmtId="168" formatCode="0.000"/>
    <numFmt numFmtId="169" formatCode="0.0"/>
    <numFmt numFmtId="170" formatCode="0.00E+00"/>
    <numFmt numFmtId="171" formatCode="0.00"/>
    <numFmt numFmtId="172" formatCode="0.000%"/>
    <numFmt numFmtId="173" formatCode="0.000E+00"/>
    <numFmt numFmtId="174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astm.org/" TargetMode="External"/><Relationship Id="rId2" Type="http://schemas.openxmlformats.org/officeDocument/2006/relationships/hyperlink" Target="https://www.astm.org/" TargetMode="External"/><Relationship Id="rId3" Type="http://schemas.openxmlformats.org/officeDocument/2006/relationships/hyperlink" Target="https://www.astm.org/" TargetMode="External"/><Relationship Id="rId4" Type="http://schemas.openxmlformats.org/officeDocument/2006/relationships/hyperlink" Target="https://www.astm.org/" TargetMode="External"/><Relationship Id="rId5" Type="http://schemas.openxmlformats.org/officeDocument/2006/relationships/hyperlink" Target="https://www.astm.org/" TargetMode="External"/><Relationship Id="rId6" Type="http://schemas.openxmlformats.org/officeDocument/2006/relationships/hyperlink" Target="https://www.astm.org/" TargetMode="External"/><Relationship Id="rId7" Type="http://schemas.openxmlformats.org/officeDocument/2006/relationships/hyperlink" Target="https://www.bis.gov.in/" TargetMode="External"/><Relationship Id="rId8" Type="http://schemas.openxmlformats.org/officeDocument/2006/relationships/hyperlink" Target="https://www.bis.gov.in/" TargetMode="External"/><Relationship Id="rId9" Type="http://schemas.openxmlformats.org/officeDocument/2006/relationships/hyperlink" Target="https://www.bis.gov.in/" TargetMode="External"/><Relationship Id="rId10" Type="http://schemas.openxmlformats.org/officeDocument/2006/relationships/hyperlink" Target="https://www.bis.gov.in/" TargetMode="External"/><Relationship Id="rId11" Type="http://schemas.openxmlformats.org/officeDocument/2006/relationships/hyperlink" Target="https://www.bis.gov.in/" TargetMode="External"/><Relationship Id="rId12" Type="http://schemas.openxmlformats.org/officeDocument/2006/relationships/hyperlink" Target="https://www.bis.gov.in/" TargetMode="External"/><Relationship Id="rId13" Type="http://schemas.openxmlformats.org/officeDocument/2006/relationships/hyperlink" Target="https://www.bis.gov.in/" TargetMode="External"/><Relationship Id="rId14" Type="http://schemas.openxmlformats.org/officeDocument/2006/relationships/hyperlink" Target="https://www.bis.gov.in/" TargetMode="External"/><Relationship Id="rId15" Type="http://schemas.openxmlformats.org/officeDocument/2006/relationships/hyperlink" Target="https://www.astm.org/" TargetMode="External"/><Relationship Id="rId16" Type="http://schemas.openxmlformats.org/officeDocument/2006/relationships/hyperlink" Target="https://www.astm.org/" TargetMode="External"/><Relationship Id="rId17" Type="http://schemas.openxmlformats.org/officeDocument/2006/relationships/hyperlink" Target="https://www.astm.org/" TargetMode="External"/><Relationship Id="rId18" Type="http://schemas.openxmlformats.org/officeDocument/2006/relationships/hyperlink" Target="https://www.astm.org/" TargetMode="External"/><Relationship Id="rId19" Type="http://schemas.openxmlformats.org/officeDocument/2006/relationships/hyperlink" Target="https://www.astm.org/" TargetMode="External"/><Relationship Id="rId20" Type="http://schemas.openxmlformats.org/officeDocument/2006/relationships/hyperlink" Target="https://www.astm.org/" TargetMode="External"/><Relationship Id="rId21" Type="http://schemas.openxmlformats.org/officeDocument/2006/relationships/hyperlink" Target="https://www.astm.org/" TargetMode="External"/><Relationship Id="rId22" Type="http://schemas.openxmlformats.org/officeDocument/2006/relationships/hyperlink" Target="https://www.astm.org/" TargetMode="External"/><Relationship Id="rId23" Type="http://schemas.openxmlformats.org/officeDocument/2006/relationships/hyperlink" Target="https://www.astm.org/" TargetMode="External"/><Relationship Id="rId24" Type="http://schemas.openxmlformats.org/officeDocument/2006/relationships/hyperlink" Target="https://www.astm.org/" TargetMode="External"/><Relationship Id="rId25" Type="http://schemas.openxmlformats.org/officeDocument/2006/relationships/hyperlink" Target="https://www.astm.org/" TargetMode="External"/><Relationship Id="rId26" Type="http://schemas.openxmlformats.org/officeDocument/2006/relationships/hyperlink" Target="https://www.astm.org/" TargetMode="External"/><Relationship Id="rId27" Type="http://schemas.openxmlformats.org/officeDocument/2006/relationships/hyperlink" Target="https://www.iso.org/" TargetMode="External"/><Relationship Id="rId28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astm.org/" TargetMode="External"/><Relationship Id="rId2" Type="http://schemas.openxmlformats.org/officeDocument/2006/relationships/hyperlink" Target="https://www.bis.gov.in/" TargetMode="External"/><Relationship Id="rId3" Type="http://schemas.openxmlformats.org/officeDocument/2006/relationships/hyperlink" Target="https://www.iso.org/" TargetMode="External"/><Relationship Id="rId4" Type="http://schemas.openxmlformats.org/officeDocument/2006/relationships/hyperlink" Target="https://www.asminternational.org/" TargetMode="External"/><Relationship Id="rId5" Type="http://schemas.openxmlformats.org/officeDocument/2006/relationships/hyperlink" Target="https://www.matweb.com/" TargetMode="External"/><Relationship Id="rId6" Type="http://schemas.openxmlformats.org/officeDocument/2006/relationships/hyperlink" Target="https://www.nist.gov/" TargetMode="External"/><Relationship Id="rId7" Type="http://schemas.openxmlformats.org/officeDocument/2006/relationships/hyperlink" Target="https://www.aluminum.org/" TargetMode="External"/><Relationship Id="rId8" Type="http://schemas.openxmlformats.org/officeDocument/2006/relationships/hyperlink" Target="https://www.ssab.com/" TargetMode="External"/><Relationship Id="rId9" Type="http://schemas.openxmlformats.org/officeDocument/2006/relationships/hyperlink" Target="https://www.specialmetal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8" min="5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60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  <c r="G5" s="6"/>
      <c r="H5" s="6"/>
      <c r="I5" s="6"/>
    </row>
    <row r="7" customFormat="false" ht="15" hidden="false" customHeight="false" outlineLevel="0" collapsed="false">
      <c r="A7" s="3" t="s">
        <v>5</v>
      </c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7" t="s">
        <v>6</v>
      </c>
      <c r="B8" s="8" t="n">
        <f aca="false">COUNTA('Master Material Database'!$B$5:$B$136)</f>
        <v>132</v>
      </c>
    </row>
    <row r="9" customFormat="false" ht="15" hidden="false" customHeight="false" outlineLevel="0" collapsed="false">
      <c r="A9" s="7" t="s">
        <v>7</v>
      </c>
      <c r="B9" s="8" t="n">
        <f aca="false">COUNTIF('Master Material Database'!$I$5:$I$154,"Not applicable (gap list)")</f>
        <v>16</v>
      </c>
    </row>
    <row r="10" customFormat="false" ht="15" hidden="false" customHeight="false" outlineLevel="0" collapsed="false">
      <c r="A10" s="7" t="s">
        <v>8</v>
      </c>
      <c r="B10" s="8" t="n">
        <f aca="false">COUNTA('Material Properties'!$C$5:$C$200)</f>
        <v>80</v>
      </c>
    </row>
    <row r="11" customFormat="false" ht="15" hidden="false" customHeight="false" outlineLevel="0" collapsed="false">
      <c r="A11" s="7" t="s">
        <v>9</v>
      </c>
      <c r="B11" s="8" t="n">
        <f aca="false">COUNT('Material Properties'!$F$5:$F$200,'Material Properties'!$H$5:$I$200,'Material Properties'!$K$5:$N$200,'Material Properties'!$P$5:$R$200)</f>
        <v>508</v>
      </c>
    </row>
    <row r="12" customFormat="false" ht="15" hidden="false" customHeight="false" outlineLevel="0" collapsed="false">
      <c r="A12" s="7" t="s">
        <v>10</v>
      </c>
      <c r="B12" s="8" t="n">
        <f aca="false">COUNTA('Grain &amp; Crystal Structure'!$B$5:$B$37)</f>
        <v>33</v>
      </c>
    </row>
    <row r="13" customFormat="false" ht="15" hidden="false" customHeight="false" outlineLevel="0" collapsed="false">
      <c r="A13" s="7" t="s">
        <v>11</v>
      </c>
      <c r="B13" s="8" t="n">
        <f aca="false">COUNTIF('Formulas &amp; Worked Examples'!$H$5:$H$400,"Verified")+COUNTIF('Formulas &amp; Worked Examples'!$H$5:$H$400,"Incorrect")</f>
        <v>19</v>
      </c>
    </row>
    <row r="14" customFormat="false" ht="15" hidden="false" customHeight="false" outlineLevel="0" collapsed="false">
      <c r="A14" s="7" t="s">
        <v>12</v>
      </c>
      <c r="B14" s="8" t="n">
        <f aca="false">COUNTA('Testing Methods'!$B$5:$B$200)</f>
        <v>44</v>
      </c>
    </row>
    <row r="15" customFormat="false" ht="15" hidden="false" customHeight="false" outlineLevel="0" collapsed="false">
      <c r="A15" s="7" t="s">
        <v>13</v>
      </c>
      <c r="B15" s="8" t="n">
        <f aca="false">COUNTA('Standards Verification'!$B$5:$B$200)</f>
        <v>27</v>
      </c>
    </row>
    <row r="16" customFormat="false" ht="15" hidden="false" customHeight="false" outlineLevel="0" collapsed="false">
      <c r="A16" s="7" t="s">
        <v>14</v>
      </c>
      <c r="B16" s="8" t="n">
        <f aca="false">COUNTA('Errors &amp; Corrections'!$B$5:$B$200)</f>
        <v>22</v>
      </c>
    </row>
    <row r="17" customFormat="false" ht="15" hidden="false" customHeight="false" outlineLevel="0" collapsed="false">
      <c r="A17" s="7" t="s">
        <v>15</v>
      </c>
      <c r="B17" s="8" t="n">
        <f aca="false">COUNTA('Industry Considerations'!$B$5:$B$200)</f>
        <v>35</v>
      </c>
    </row>
    <row r="19" customFormat="false" ht="15" hidden="false" customHeight="false" outlineLevel="0" collapsed="false">
      <c r="A19" s="3" t="s">
        <v>16</v>
      </c>
      <c r="B19" s="4"/>
      <c r="C19" s="4"/>
      <c r="D19" s="4"/>
      <c r="E19" s="4"/>
      <c r="F19" s="4"/>
      <c r="G19" s="4"/>
      <c r="H19" s="4"/>
      <c r="I19" s="4"/>
    </row>
    <row r="20" customFormat="false" ht="31.5" hidden="false" customHeight="true" outlineLevel="0" collapsed="false">
      <c r="A20" s="9" t="s">
        <v>17</v>
      </c>
      <c r="B20" s="9" t="s">
        <v>18</v>
      </c>
      <c r="C20" s="9" t="s">
        <v>19</v>
      </c>
      <c r="D20" s="9" t="s">
        <v>20</v>
      </c>
      <c r="E20" s="9" t="s">
        <v>21</v>
      </c>
      <c r="F20" s="9" t="s">
        <v>22</v>
      </c>
      <c r="G20" s="9" t="s">
        <v>23</v>
      </c>
      <c r="H20" s="9" t="s">
        <v>24</v>
      </c>
      <c r="I20" s="9" t="s">
        <v>25</v>
      </c>
    </row>
    <row r="21" customFormat="false" ht="15" hidden="false" customHeight="false" outlineLevel="0" collapsed="false">
      <c r="A21" s="10" t="s">
        <v>26</v>
      </c>
      <c r="B21" s="11" t="n">
        <f aca="false">COUNTA('Master Material Database'!$I$5:$I$136)</f>
        <v>132</v>
      </c>
      <c r="C21" s="11" t="n">
        <f aca="false">COUNTIF('Master Material Database'!$I$5:$I$136,"Verified")</f>
        <v>0</v>
      </c>
      <c r="D21" s="11" t="n">
        <f aca="false">COUNTIF('Master Material Database'!$I$5:$I$136,"Conditionally verified")</f>
        <v>103</v>
      </c>
      <c r="E21" s="11" t="n">
        <f aca="false">COUNTIF('Master Material Database'!$I$5:$I$136,"Incorrect")</f>
        <v>3</v>
      </c>
      <c r="F21" s="11" t="n">
        <f aca="false">COUNTIF('Master Material Database'!$I$5:$I$136,"Unverified")</f>
        <v>26</v>
      </c>
      <c r="G21" s="12" t="n">
        <f aca="false">IF(B21&gt;0,C21/B21,0)</f>
        <v>0</v>
      </c>
      <c r="H21" s="12" t="n">
        <f aca="false">IF(B21&gt;0,(C21+D21)/B21,0)</f>
        <v>0.78030303030303</v>
      </c>
      <c r="I21" s="11" t="str">
        <f aca="false">IF(B21=SUM(C21:F21),"OK","CHECK")</f>
        <v>OK</v>
      </c>
    </row>
    <row r="22" customFormat="false" ht="15" hidden="false" customHeight="false" outlineLevel="0" collapsed="false">
      <c r="A22" s="10" t="s">
        <v>27</v>
      </c>
      <c r="B22" s="11" t="n">
        <f aca="false">COUNTA('Material Properties'!$Z$5:$Z$200)</f>
        <v>80</v>
      </c>
      <c r="C22" s="11" t="n">
        <f aca="false">COUNTIF('Material Properties'!$Z$5:$Z$200,"Verified")</f>
        <v>0</v>
      </c>
      <c r="D22" s="11" t="n">
        <f aca="false">COUNTIF('Material Properties'!$Z$5:$Z$200,"Conditionally verified")</f>
        <v>54</v>
      </c>
      <c r="E22" s="11" t="n">
        <f aca="false">COUNTIF('Material Properties'!$Z$5:$Z$200,"Incorrect")</f>
        <v>0</v>
      </c>
      <c r="F22" s="11" t="n">
        <f aca="false">COUNTIF('Material Properties'!$Z$5:$Z$200,"Unverified")</f>
        <v>26</v>
      </c>
      <c r="G22" s="12" t="n">
        <f aca="false">IF(B22&gt;0,C22/B22,0)</f>
        <v>0</v>
      </c>
      <c r="H22" s="12" t="n">
        <f aca="false">IF(B22&gt;0,(C22+D22)/B22,0)</f>
        <v>0.675</v>
      </c>
      <c r="I22" s="11" t="str">
        <f aca="false">IF(B22=SUM(C22:F22),"OK","CHECK")</f>
        <v>OK</v>
      </c>
    </row>
    <row r="23" customFormat="false" ht="15" hidden="false" customHeight="false" outlineLevel="0" collapsed="false">
      <c r="A23" s="10" t="s">
        <v>28</v>
      </c>
      <c r="B23" s="11" t="n">
        <f aca="false">COUNTA('Grain &amp; Crystal Structure'!$K$5:$K$37)</f>
        <v>33</v>
      </c>
      <c r="C23" s="11" t="n">
        <f aca="false">COUNTIF('Grain &amp; Crystal Structure'!$K$5:$K$37,"Verified")</f>
        <v>0</v>
      </c>
      <c r="D23" s="11" t="n">
        <f aca="false">COUNTIF('Grain &amp; Crystal Structure'!$K$5:$K$37,"Conditionally verified")</f>
        <v>33</v>
      </c>
      <c r="E23" s="11" t="n">
        <f aca="false">COUNTIF('Grain &amp; Crystal Structure'!$K$5:$K$37,"Incorrect")</f>
        <v>0</v>
      </c>
      <c r="F23" s="11" t="n">
        <f aca="false">COUNTIF('Grain &amp; Crystal Structure'!$K$5:$K$37,"Unverified")</f>
        <v>0</v>
      </c>
      <c r="G23" s="12" t="n">
        <f aca="false">IF(B23&gt;0,C23/B23,0)</f>
        <v>0</v>
      </c>
      <c r="H23" s="12" t="n">
        <f aca="false">IF(B23&gt;0,(C23+D23)/B23,0)</f>
        <v>1</v>
      </c>
      <c r="I23" s="11" t="str">
        <f aca="false">IF(B23=SUM(C23:F23),"OK","CHECK")</f>
        <v>OK</v>
      </c>
    </row>
    <row r="24" customFormat="false" ht="15" hidden="false" customHeight="false" outlineLevel="0" collapsed="false">
      <c r="A24" s="10" t="s">
        <v>29</v>
      </c>
      <c r="B24" s="11" t="n">
        <f aca="false">SUM(C24:F24)</f>
        <v>19</v>
      </c>
      <c r="C24" s="11" t="n">
        <f aca="false">COUNTIF('Formulas &amp; Worked Examples'!$H$5:$H$400,"Verified")</f>
        <v>19</v>
      </c>
      <c r="D24" s="11" t="n">
        <f aca="false">COUNTIF('Formulas &amp; Worked Examples'!$H$5:$H$400,"Conditionally verified")</f>
        <v>0</v>
      </c>
      <c r="E24" s="11" t="n">
        <f aca="false">COUNTIF('Formulas &amp; Worked Examples'!$H$5:$H$400,"Incorrect")</f>
        <v>0</v>
      </c>
      <c r="F24" s="11" t="n">
        <f aca="false">COUNTIF('Formulas &amp; Worked Examples'!$H$5:$H$400,"Unverified")</f>
        <v>0</v>
      </c>
      <c r="G24" s="12" t="n">
        <f aca="false">IF(B24&gt;0,C24/B24,0)</f>
        <v>1</v>
      </c>
      <c r="H24" s="12" t="n">
        <f aca="false">IF(B24&gt;0,(C24+D24)/B24,0)</f>
        <v>1</v>
      </c>
      <c r="I24" s="11" t="str">
        <f aca="false">IF(B24=SUM(C24:F24),"OK","CHECK")</f>
        <v>OK</v>
      </c>
    </row>
    <row r="25" customFormat="false" ht="15" hidden="false" customHeight="false" outlineLevel="0" collapsed="false">
      <c r="A25" s="10" t="s">
        <v>30</v>
      </c>
      <c r="B25" s="11" t="n">
        <f aca="false">COUNTA('Testing Methods'!$K$5:$K$200)</f>
        <v>44</v>
      </c>
      <c r="C25" s="11" t="n">
        <f aca="false">COUNTIF('Testing Methods'!$K$5:$K$200,"Verified")</f>
        <v>0</v>
      </c>
      <c r="D25" s="11" t="n">
        <f aca="false">COUNTIF('Testing Methods'!$K$5:$K$200,"Conditionally verified")</f>
        <v>35</v>
      </c>
      <c r="E25" s="11" t="n">
        <f aca="false">COUNTIF('Testing Methods'!$K$5:$K$200,"Incorrect")</f>
        <v>0</v>
      </c>
      <c r="F25" s="11" t="n">
        <f aca="false">COUNTIF('Testing Methods'!$K$5:$K$200,"Unverified")</f>
        <v>9</v>
      </c>
      <c r="G25" s="12" t="n">
        <f aca="false">IF(B25&gt;0,C25/B25,0)</f>
        <v>0</v>
      </c>
      <c r="H25" s="12" t="n">
        <f aca="false">IF(B25&gt;0,(C25+D25)/B25,0)</f>
        <v>0.795454545454545</v>
      </c>
      <c r="I25" s="11" t="str">
        <f aca="false">IF(B25=SUM(C25:F25),"OK","CHECK")</f>
        <v>OK</v>
      </c>
    </row>
    <row r="26" customFormat="false" ht="15" hidden="false" customHeight="false" outlineLevel="0" collapsed="false">
      <c r="A26" s="10" t="s">
        <v>31</v>
      </c>
      <c r="B26" s="11" t="n">
        <f aca="false">COUNTA('Standards Verification'!$L$5:$L$200)</f>
        <v>27</v>
      </c>
      <c r="C26" s="11" t="n">
        <f aca="false">COUNTIF('Standards Verification'!$L$5:$L$200,"Verified")</f>
        <v>0</v>
      </c>
      <c r="D26" s="11" t="n">
        <f aca="false">COUNTIF('Standards Verification'!$L$5:$L$200,"Conditionally verified")</f>
        <v>25</v>
      </c>
      <c r="E26" s="11" t="n">
        <f aca="false">COUNTIF('Standards Verification'!$L$5:$L$200,"Incorrect")</f>
        <v>0</v>
      </c>
      <c r="F26" s="11" t="n">
        <f aca="false">COUNTIF('Standards Verification'!$L$5:$L$200,"Unverified")</f>
        <v>2</v>
      </c>
      <c r="G26" s="12" t="n">
        <f aca="false">IF(B26&gt;0,C26/B26,0)</f>
        <v>0</v>
      </c>
      <c r="H26" s="12" t="n">
        <f aca="false">IF(B26&gt;0,(C26+D26)/B26,0)</f>
        <v>0.925925925925926</v>
      </c>
      <c r="I26" s="11" t="str">
        <f aca="false">IF(B26=SUM(C26:F26),"OK","CHECK")</f>
        <v>OK</v>
      </c>
    </row>
    <row r="27" customFormat="false" ht="15" hidden="false" customHeight="false" outlineLevel="0" collapsed="false">
      <c r="A27" s="13" t="s">
        <v>32</v>
      </c>
      <c r="B27" s="14" t="n">
        <f aca="false">SUM(B21:B26)</f>
        <v>335</v>
      </c>
      <c r="C27" s="14" t="n">
        <f aca="false">SUM(C21:C26)</f>
        <v>19</v>
      </c>
      <c r="D27" s="14" t="n">
        <f aca="false">SUM(D21:D26)</f>
        <v>250</v>
      </c>
      <c r="E27" s="14" t="n">
        <f aca="false">SUM(E21:E26)</f>
        <v>3</v>
      </c>
      <c r="F27" s="14" t="n">
        <f aca="false">SUM(F21:F26)</f>
        <v>63</v>
      </c>
      <c r="G27" s="15" t="n">
        <f aca="false">IF(B27&gt;0,C27/B27,0)</f>
        <v>0.0567164179104478</v>
      </c>
      <c r="H27" s="15" t="n">
        <f aca="false">IF(B27&gt;0,(C27+D27)/B27,0)</f>
        <v>0.802985074626866</v>
      </c>
      <c r="I27" s="14" t="str">
        <f aca="false">IF(B27=SUM(C27:F27),"OK","CHECK")</f>
        <v>OK</v>
      </c>
    </row>
    <row r="29" customFormat="false" ht="75" hidden="false" customHeight="true" outlineLevel="0" collapsed="false">
      <c r="A29" s="5" t="s">
        <v>33</v>
      </c>
      <c r="B29" s="6" t="s">
        <v>34</v>
      </c>
      <c r="C29" s="6"/>
      <c r="D29" s="6"/>
      <c r="E29" s="6"/>
      <c r="F29" s="6"/>
      <c r="G29" s="6"/>
      <c r="H29" s="6"/>
      <c r="I29" s="6"/>
    </row>
    <row r="30" customFormat="false" ht="45" hidden="false" customHeight="true" outlineLevel="0" collapsed="false">
      <c r="A30" s="5" t="s">
        <v>35</v>
      </c>
      <c r="B30" s="6" t="s">
        <v>36</v>
      </c>
      <c r="C30" s="6"/>
      <c r="D30" s="6"/>
      <c r="E30" s="6"/>
      <c r="F30" s="6"/>
      <c r="G30" s="6"/>
      <c r="H30" s="6"/>
      <c r="I30" s="6"/>
    </row>
    <row r="31" customFormat="false" ht="60" hidden="false" customHeight="true" outlineLevel="0" collapsed="false">
      <c r="A31" s="5" t="s">
        <v>37</v>
      </c>
      <c r="B31" s="6" t="s">
        <v>38</v>
      </c>
      <c r="C31" s="6"/>
      <c r="D31" s="6"/>
      <c r="E31" s="6"/>
      <c r="F31" s="6"/>
      <c r="G31" s="6"/>
      <c r="H31" s="6"/>
      <c r="I31" s="6"/>
    </row>
    <row r="33" customFormat="false" ht="15" hidden="false" customHeight="false" outlineLevel="0" collapsed="false">
      <c r="A33" s="3" t="s">
        <v>39</v>
      </c>
      <c r="B33" s="4"/>
      <c r="C33" s="4"/>
      <c r="D33" s="4"/>
      <c r="E33" s="4"/>
      <c r="F33" s="4"/>
      <c r="G33" s="4"/>
      <c r="H33" s="4"/>
      <c r="I33" s="4"/>
    </row>
    <row r="34" customFormat="false" ht="27.75" hidden="false" customHeight="true" outlineLevel="0" collapsed="false">
      <c r="A34" s="6" t="s">
        <v>40</v>
      </c>
      <c r="B34" s="6"/>
      <c r="C34" s="6"/>
      <c r="D34" s="6"/>
      <c r="E34" s="6"/>
      <c r="F34" s="6"/>
      <c r="G34" s="6"/>
      <c r="H34" s="6"/>
      <c r="I34" s="6"/>
    </row>
    <row r="35" customFormat="false" ht="27.75" hidden="false" customHeight="true" outlineLevel="0" collapsed="false">
      <c r="A35" s="6" t="s">
        <v>41</v>
      </c>
      <c r="B35" s="6"/>
      <c r="C35" s="6"/>
      <c r="D35" s="6"/>
      <c r="E35" s="6"/>
      <c r="F35" s="6"/>
      <c r="G35" s="6"/>
      <c r="H35" s="6"/>
      <c r="I35" s="6"/>
    </row>
    <row r="36" customFormat="false" ht="27.75" hidden="false" customHeight="true" outlineLevel="0" collapsed="false">
      <c r="A36" s="6" t="s">
        <v>42</v>
      </c>
      <c r="B36" s="6"/>
      <c r="C36" s="6"/>
      <c r="D36" s="6"/>
      <c r="E36" s="6"/>
      <c r="F36" s="6"/>
      <c r="G36" s="6"/>
      <c r="H36" s="6"/>
      <c r="I36" s="6"/>
    </row>
    <row r="37" customFormat="false" ht="27.75" hidden="false" customHeight="true" outlineLevel="0" collapsed="false">
      <c r="A37" s="6" t="s">
        <v>43</v>
      </c>
      <c r="B37" s="6"/>
      <c r="C37" s="6"/>
      <c r="D37" s="6"/>
      <c r="E37" s="6"/>
      <c r="F37" s="6"/>
      <c r="G37" s="6"/>
      <c r="H37" s="6"/>
      <c r="I37" s="6"/>
    </row>
    <row r="38" customFormat="false" ht="27.75" hidden="false" customHeight="true" outlineLevel="0" collapsed="false">
      <c r="A38" s="6" t="s">
        <v>44</v>
      </c>
      <c r="B38" s="6"/>
      <c r="C38" s="6"/>
      <c r="D38" s="6"/>
      <c r="E38" s="6"/>
      <c r="F38" s="6"/>
      <c r="G38" s="6"/>
      <c r="H38" s="6"/>
      <c r="I38" s="6"/>
    </row>
    <row r="39" customFormat="false" ht="27.75" hidden="false" customHeight="true" outlineLevel="0" collapsed="false">
      <c r="A39" s="6" t="s">
        <v>45</v>
      </c>
      <c r="B39" s="6"/>
      <c r="C39" s="6"/>
      <c r="D39" s="6"/>
      <c r="E39" s="6"/>
      <c r="F39" s="6"/>
      <c r="G39" s="6"/>
      <c r="H39" s="6"/>
      <c r="I39" s="6"/>
    </row>
    <row r="41" customFormat="false" ht="15" hidden="false" customHeight="false" outlineLevel="0" collapsed="false">
      <c r="A41" s="3" t="s">
        <v>46</v>
      </c>
      <c r="B41" s="4"/>
      <c r="C41" s="4"/>
      <c r="D41" s="4"/>
      <c r="E41" s="4"/>
      <c r="F41" s="4"/>
      <c r="G41" s="4"/>
      <c r="H41" s="4"/>
      <c r="I41" s="4"/>
    </row>
    <row r="42" customFormat="false" ht="27.75" hidden="false" customHeight="true" outlineLevel="0" collapsed="false">
      <c r="A42" s="6" t="s">
        <v>47</v>
      </c>
      <c r="B42" s="6"/>
      <c r="C42" s="6"/>
      <c r="D42" s="6"/>
      <c r="E42" s="6"/>
      <c r="F42" s="6"/>
      <c r="G42" s="6"/>
      <c r="H42" s="6"/>
      <c r="I42" s="6"/>
    </row>
    <row r="43" customFormat="false" ht="27.75" hidden="false" customHeight="true" outlineLevel="0" collapsed="false">
      <c r="A43" s="6" t="s">
        <v>48</v>
      </c>
      <c r="B43" s="6"/>
      <c r="C43" s="6"/>
      <c r="D43" s="6"/>
      <c r="E43" s="6"/>
      <c r="F43" s="6"/>
      <c r="G43" s="6"/>
      <c r="H43" s="6"/>
      <c r="I43" s="6"/>
    </row>
    <row r="44" customFormat="false" ht="27.75" hidden="false" customHeight="true" outlineLevel="0" collapsed="false">
      <c r="A44" s="6" t="s">
        <v>49</v>
      </c>
      <c r="B44" s="6"/>
      <c r="C44" s="6"/>
      <c r="D44" s="6"/>
      <c r="E44" s="6"/>
      <c r="F44" s="6"/>
      <c r="G44" s="6"/>
      <c r="H44" s="6"/>
      <c r="I44" s="6"/>
    </row>
    <row r="45" customFormat="false" ht="27.75" hidden="false" customHeight="true" outlineLevel="0" collapsed="false">
      <c r="A45" s="6" t="s">
        <v>50</v>
      </c>
      <c r="B45" s="6"/>
      <c r="C45" s="6"/>
      <c r="D45" s="6"/>
      <c r="E45" s="6"/>
      <c r="F45" s="6"/>
      <c r="G45" s="6"/>
      <c r="H45" s="6"/>
      <c r="I45" s="6"/>
    </row>
    <row r="46" customFormat="false" ht="27.75" hidden="false" customHeight="true" outlineLevel="0" collapsed="false">
      <c r="A46" s="6" t="s">
        <v>51</v>
      </c>
      <c r="B46" s="6"/>
      <c r="C46" s="6"/>
      <c r="D46" s="6"/>
      <c r="E46" s="6"/>
      <c r="F46" s="6"/>
      <c r="G46" s="6"/>
      <c r="H46" s="6"/>
      <c r="I46" s="6"/>
    </row>
  </sheetData>
  <mergeCells count="15">
    <mergeCell ref="B5:I5"/>
    <mergeCell ref="B29:I29"/>
    <mergeCell ref="B30:I30"/>
    <mergeCell ref="B31:I31"/>
    <mergeCell ref="A34:I34"/>
    <mergeCell ref="A35:I35"/>
    <mergeCell ref="A36:I36"/>
    <mergeCell ref="A37:I37"/>
    <mergeCell ref="A38:I38"/>
    <mergeCell ref="A39:I39"/>
    <mergeCell ref="A42:I42"/>
    <mergeCell ref="A43:I43"/>
    <mergeCell ref="A44:I44"/>
    <mergeCell ref="A45:I45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6" min="5" style="0" width="38"/>
    <col collapsed="false" customWidth="true" hidden="false" outlineLevel="0" max="7" min="7" style="0" width="60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48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16" t="s">
        <v>53</v>
      </c>
    </row>
    <row r="4" customFormat="false" ht="42" hidden="false" customHeight="true" outlineLevel="0" collapsed="false">
      <c r="A4" s="17" t="s">
        <v>54</v>
      </c>
      <c r="B4" s="17" t="s">
        <v>55</v>
      </c>
      <c r="C4" s="17" t="s">
        <v>56</v>
      </c>
      <c r="D4" s="17" t="s">
        <v>57</v>
      </c>
      <c r="E4" s="17" t="s">
        <v>58</v>
      </c>
      <c r="F4" s="17" t="s">
        <v>59</v>
      </c>
      <c r="G4" s="17" t="s">
        <v>60</v>
      </c>
      <c r="H4" s="17" t="s">
        <v>61</v>
      </c>
      <c r="I4" s="17" t="s">
        <v>62</v>
      </c>
      <c r="J4" s="17" t="s">
        <v>63</v>
      </c>
    </row>
    <row r="5" customFormat="false" ht="35.05" hidden="false" customHeight="false" outlineLevel="0" collapsed="false">
      <c r="A5" s="18" t="n">
        <v>1</v>
      </c>
      <c r="B5" s="18" t="s">
        <v>64</v>
      </c>
      <c r="C5" s="18" t="s">
        <v>65</v>
      </c>
      <c r="D5" s="18" t="s">
        <v>66</v>
      </c>
      <c r="E5" s="18" t="s">
        <v>67</v>
      </c>
      <c r="F5" s="18" t="s">
        <v>68</v>
      </c>
      <c r="G5" s="18" t="s">
        <v>69</v>
      </c>
      <c r="H5" s="19" t="n">
        <f aca="false">COUNTIF('Material Properties'!$B$5:$B$200,A5)</f>
        <v>0</v>
      </c>
      <c r="I5" s="18" t="s">
        <v>20</v>
      </c>
      <c r="J5" s="18" t="s">
        <v>70</v>
      </c>
    </row>
    <row r="6" customFormat="false" ht="35.05" hidden="false" customHeight="false" outlineLevel="0" collapsed="false">
      <c r="A6" s="18" t="n">
        <v>2</v>
      </c>
      <c r="B6" s="18" t="s">
        <v>71</v>
      </c>
      <c r="C6" s="18" t="s">
        <v>72</v>
      </c>
      <c r="D6" s="18" t="s">
        <v>66</v>
      </c>
      <c r="E6" s="18" t="s">
        <v>73</v>
      </c>
      <c r="F6" s="18" t="s">
        <v>68</v>
      </c>
      <c r="G6" s="18" t="s">
        <v>69</v>
      </c>
      <c r="H6" s="19" t="n">
        <f aca="false">COUNTIF('Material Properties'!$B$5:$B$200,A6)</f>
        <v>0</v>
      </c>
      <c r="I6" s="18" t="s">
        <v>20</v>
      </c>
      <c r="J6" s="18" t="s">
        <v>74</v>
      </c>
    </row>
    <row r="7" customFormat="false" ht="35.05" hidden="false" customHeight="false" outlineLevel="0" collapsed="false">
      <c r="A7" s="18" t="n">
        <v>3</v>
      </c>
      <c r="B7" s="18" t="s">
        <v>75</v>
      </c>
      <c r="C7" s="18" t="s">
        <v>76</v>
      </c>
      <c r="D7" s="18" t="s">
        <v>66</v>
      </c>
      <c r="E7" s="18" t="s">
        <v>77</v>
      </c>
      <c r="F7" s="18" t="s">
        <v>68</v>
      </c>
      <c r="G7" s="18" t="s">
        <v>69</v>
      </c>
      <c r="H7" s="19" t="n">
        <f aca="false">COUNTIF('Material Properties'!$B$5:$B$200,A7)</f>
        <v>0</v>
      </c>
      <c r="I7" s="18" t="s">
        <v>20</v>
      </c>
      <c r="J7" s="18" t="s">
        <v>78</v>
      </c>
    </row>
    <row r="8" customFormat="false" ht="35.05" hidden="false" customHeight="false" outlineLevel="0" collapsed="false">
      <c r="A8" s="18" t="n">
        <v>4</v>
      </c>
      <c r="B8" s="18" t="s">
        <v>79</v>
      </c>
      <c r="C8" s="18" t="s">
        <v>80</v>
      </c>
      <c r="D8" s="18" t="s">
        <v>66</v>
      </c>
      <c r="E8" s="18" t="s">
        <v>81</v>
      </c>
      <c r="F8" s="18" t="s">
        <v>68</v>
      </c>
      <c r="G8" s="18" t="s">
        <v>69</v>
      </c>
      <c r="H8" s="19" t="n">
        <f aca="false">COUNTIF('Material Properties'!$B$5:$B$200,A8)</f>
        <v>1</v>
      </c>
      <c r="I8" s="18" t="s">
        <v>20</v>
      </c>
      <c r="J8" s="18" t="s">
        <v>82</v>
      </c>
    </row>
    <row r="9" customFormat="false" ht="35.05" hidden="false" customHeight="false" outlineLevel="0" collapsed="false">
      <c r="A9" s="18" t="n">
        <v>5</v>
      </c>
      <c r="B9" s="18" t="s">
        <v>83</v>
      </c>
      <c r="C9" s="18" t="s">
        <v>84</v>
      </c>
      <c r="D9" s="18" t="s">
        <v>66</v>
      </c>
      <c r="E9" s="18" t="s">
        <v>81</v>
      </c>
      <c r="F9" s="18" t="s">
        <v>68</v>
      </c>
      <c r="G9" s="18" t="s">
        <v>69</v>
      </c>
      <c r="H9" s="19" t="n">
        <f aca="false">COUNTIF('Material Properties'!$B$5:$B$200,A9)</f>
        <v>0</v>
      </c>
      <c r="I9" s="18" t="s">
        <v>20</v>
      </c>
      <c r="J9" s="18" t="s">
        <v>85</v>
      </c>
    </row>
    <row r="10" customFormat="false" ht="35.05" hidden="false" customHeight="false" outlineLevel="0" collapsed="false">
      <c r="A10" s="18" t="n">
        <v>6</v>
      </c>
      <c r="B10" s="18" t="s">
        <v>86</v>
      </c>
      <c r="C10" s="18" t="s">
        <v>87</v>
      </c>
      <c r="D10" s="18" t="s">
        <v>88</v>
      </c>
      <c r="E10" s="18" t="s">
        <v>89</v>
      </c>
      <c r="F10" s="18" t="s">
        <v>68</v>
      </c>
      <c r="G10" s="18" t="s">
        <v>69</v>
      </c>
      <c r="H10" s="19" t="n">
        <f aca="false">COUNTIF('Material Properties'!$B$5:$B$200,A10)</f>
        <v>0</v>
      </c>
      <c r="I10" s="18" t="s">
        <v>20</v>
      </c>
      <c r="J10" s="18"/>
    </row>
    <row r="11" customFormat="false" ht="35.05" hidden="false" customHeight="false" outlineLevel="0" collapsed="false">
      <c r="A11" s="18" t="n">
        <v>7</v>
      </c>
      <c r="B11" s="18" t="s">
        <v>90</v>
      </c>
      <c r="C11" s="18" t="s">
        <v>91</v>
      </c>
      <c r="D11" s="18" t="s">
        <v>92</v>
      </c>
      <c r="E11" s="18" t="s">
        <v>89</v>
      </c>
      <c r="F11" s="18" t="s">
        <v>93</v>
      </c>
      <c r="G11" s="18" t="s">
        <v>94</v>
      </c>
      <c r="H11" s="19" t="n">
        <f aca="false">COUNTIF('Material Properties'!$B$5:$B$200,A11)</f>
        <v>0</v>
      </c>
      <c r="I11" s="18" t="s">
        <v>20</v>
      </c>
      <c r="J11" s="18"/>
    </row>
    <row r="12" customFormat="false" ht="35.05" hidden="false" customHeight="false" outlineLevel="0" collapsed="false">
      <c r="A12" s="18" t="n">
        <v>8</v>
      </c>
      <c r="B12" s="18" t="s">
        <v>95</v>
      </c>
      <c r="C12" s="18" t="s">
        <v>96</v>
      </c>
      <c r="D12" s="18" t="s">
        <v>92</v>
      </c>
      <c r="E12" s="18" t="s">
        <v>89</v>
      </c>
      <c r="F12" s="18" t="s">
        <v>93</v>
      </c>
      <c r="G12" s="18" t="s">
        <v>94</v>
      </c>
      <c r="H12" s="19" t="n">
        <f aca="false">COUNTIF('Material Properties'!$B$5:$B$200,A12)</f>
        <v>0</v>
      </c>
      <c r="I12" s="18" t="s">
        <v>20</v>
      </c>
      <c r="J12" s="18"/>
    </row>
    <row r="13" customFormat="false" ht="35.05" hidden="false" customHeight="false" outlineLevel="0" collapsed="false">
      <c r="A13" s="18" t="n">
        <v>9</v>
      </c>
      <c r="B13" s="18" t="s">
        <v>97</v>
      </c>
      <c r="C13" s="18" t="s">
        <v>98</v>
      </c>
      <c r="D13" s="18" t="s">
        <v>92</v>
      </c>
      <c r="E13" s="18" t="s">
        <v>99</v>
      </c>
      <c r="F13" s="18" t="s">
        <v>93</v>
      </c>
      <c r="G13" s="18" t="s">
        <v>94</v>
      </c>
      <c r="H13" s="19" t="n">
        <f aca="false">COUNTIF('Material Properties'!$B$5:$B$200,A13)</f>
        <v>1</v>
      </c>
      <c r="I13" s="18" t="s">
        <v>20</v>
      </c>
      <c r="J13" s="18" t="s">
        <v>100</v>
      </c>
    </row>
    <row r="14" customFormat="false" ht="35.05" hidden="false" customHeight="false" outlineLevel="0" collapsed="false">
      <c r="A14" s="18" t="n">
        <v>10</v>
      </c>
      <c r="B14" s="18" t="s">
        <v>101</v>
      </c>
      <c r="C14" s="18" t="s">
        <v>102</v>
      </c>
      <c r="D14" s="18" t="s">
        <v>92</v>
      </c>
      <c r="E14" s="18" t="s">
        <v>89</v>
      </c>
      <c r="F14" s="18" t="s">
        <v>93</v>
      </c>
      <c r="G14" s="18" t="s">
        <v>94</v>
      </c>
      <c r="H14" s="19" t="n">
        <f aca="false">COUNTIF('Material Properties'!$B$5:$B$200,A14)</f>
        <v>0</v>
      </c>
      <c r="I14" s="18" t="s">
        <v>20</v>
      </c>
      <c r="J14" s="18"/>
    </row>
    <row r="15" customFormat="false" ht="23.85" hidden="false" customHeight="false" outlineLevel="0" collapsed="false">
      <c r="A15" s="18" t="n">
        <v>11</v>
      </c>
      <c r="B15" s="18" t="s">
        <v>103</v>
      </c>
      <c r="C15" s="18" t="s">
        <v>104</v>
      </c>
      <c r="D15" s="18" t="s">
        <v>105</v>
      </c>
      <c r="E15" s="18" t="s">
        <v>89</v>
      </c>
      <c r="F15" s="18" t="s">
        <v>106</v>
      </c>
      <c r="G15" s="18" t="s">
        <v>107</v>
      </c>
      <c r="H15" s="19" t="n">
        <f aca="false">COUNTIF('Material Properties'!$B$5:$B$200,A15)</f>
        <v>0</v>
      </c>
      <c r="I15" s="18" t="s">
        <v>20</v>
      </c>
      <c r="J15" s="18"/>
    </row>
    <row r="16" customFormat="false" ht="35.05" hidden="false" customHeight="false" outlineLevel="0" collapsed="false">
      <c r="A16" s="18" t="n">
        <v>12</v>
      </c>
      <c r="B16" s="18" t="s">
        <v>108</v>
      </c>
      <c r="C16" s="18" t="s">
        <v>109</v>
      </c>
      <c r="D16" s="18" t="s">
        <v>110</v>
      </c>
      <c r="E16" s="18" t="s">
        <v>111</v>
      </c>
      <c r="F16" s="18" t="s">
        <v>68</v>
      </c>
      <c r="G16" s="18" t="s">
        <v>69</v>
      </c>
      <c r="H16" s="19" t="n">
        <f aca="false">COUNTIF('Material Properties'!$B$5:$B$200,A16)</f>
        <v>1</v>
      </c>
      <c r="I16" s="18" t="s">
        <v>20</v>
      </c>
      <c r="J16" s="18" t="s">
        <v>112</v>
      </c>
    </row>
    <row r="17" customFormat="false" ht="35.05" hidden="false" customHeight="false" outlineLevel="0" collapsed="false">
      <c r="A17" s="18" t="n">
        <v>13</v>
      </c>
      <c r="B17" s="18" t="s">
        <v>113</v>
      </c>
      <c r="C17" s="18" t="s">
        <v>114</v>
      </c>
      <c r="D17" s="18" t="s">
        <v>110</v>
      </c>
      <c r="E17" s="18" t="s">
        <v>115</v>
      </c>
      <c r="F17" s="18" t="s">
        <v>116</v>
      </c>
      <c r="G17" s="18" t="s">
        <v>117</v>
      </c>
      <c r="H17" s="19" t="n">
        <f aca="false">COUNTIF('Material Properties'!$B$5:$B$200,A17)</f>
        <v>1</v>
      </c>
      <c r="I17" s="18" t="s">
        <v>20</v>
      </c>
      <c r="J17" s="18" t="s">
        <v>118</v>
      </c>
    </row>
    <row r="18" customFormat="false" ht="35.05" hidden="false" customHeight="false" outlineLevel="0" collapsed="false">
      <c r="A18" s="18" t="n">
        <v>14</v>
      </c>
      <c r="B18" s="18" t="s">
        <v>119</v>
      </c>
      <c r="C18" s="18" t="s">
        <v>120</v>
      </c>
      <c r="D18" s="18" t="s">
        <v>110</v>
      </c>
      <c r="E18" s="18" t="s">
        <v>120</v>
      </c>
      <c r="F18" s="18" t="s">
        <v>68</v>
      </c>
      <c r="G18" s="18" t="s">
        <v>69</v>
      </c>
      <c r="H18" s="19" t="n">
        <f aca="false">COUNTIF('Material Properties'!$B$5:$B$200,A18)</f>
        <v>1</v>
      </c>
      <c r="I18" s="18" t="s">
        <v>20</v>
      </c>
      <c r="J18" s="18" t="s">
        <v>121</v>
      </c>
    </row>
    <row r="19" customFormat="false" ht="35.05" hidden="false" customHeight="false" outlineLevel="0" collapsed="false">
      <c r="A19" s="18" t="n">
        <v>15</v>
      </c>
      <c r="B19" s="18" t="s">
        <v>122</v>
      </c>
      <c r="C19" s="18" t="s">
        <v>123</v>
      </c>
      <c r="D19" s="18" t="s">
        <v>124</v>
      </c>
      <c r="E19" s="18" t="s">
        <v>125</v>
      </c>
      <c r="F19" s="18" t="s">
        <v>116</v>
      </c>
      <c r="G19" s="18" t="s">
        <v>117</v>
      </c>
      <c r="H19" s="19" t="n">
        <f aca="false">COUNTIF('Material Properties'!$B$5:$B$200,A19)</f>
        <v>1</v>
      </c>
      <c r="I19" s="18" t="s">
        <v>20</v>
      </c>
      <c r="J19" s="18" t="s">
        <v>126</v>
      </c>
    </row>
    <row r="20" customFormat="false" ht="35.05" hidden="false" customHeight="false" outlineLevel="0" collapsed="false">
      <c r="A20" s="18" t="n">
        <v>16</v>
      </c>
      <c r="B20" s="18" t="s">
        <v>127</v>
      </c>
      <c r="C20" s="18" t="s">
        <v>128</v>
      </c>
      <c r="D20" s="18" t="s">
        <v>129</v>
      </c>
      <c r="E20" s="18" t="s">
        <v>130</v>
      </c>
      <c r="F20" s="18" t="s">
        <v>131</v>
      </c>
      <c r="G20" s="18" t="s">
        <v>132</v>
      </c>
      <c r="H20" s="19" t="n">
        <f aca="false">COUNTIF('Material Properties'!$B$5:$B$200,A20)</f>
        <v>1</v>
      </c>
      <c r="I20" s="18" t="s">
        <v>20</v>
      </c>
      <c r="J20" s="18" t="s">
        <v>133</v>
      </c>
    </row>
    <row r="21" customFormat="false" ht="35.05" hidden="false" customHeight="false" outlineLevel="0" collapsed="false">
      <c r="A21" s="18" t="n">
        <v>17</v>
      </c>
      <c r="B21" s="18" t="s">
        <v>134</v>
      </c>
      <c r="C21" s="18" t="s">
        <v>135</v>
      </c>
      <c r="D21" s="18" t="s">
        <v>129</v>
      </c>
      <c r="E21" s="18" t="s">
        <v>136</v>
      </c>
      <c r="F21" s="18" t="s">
        <v>131</v>
      </c>
      <c r="G21" s="18" t="s">
        <v>132</v>
      </c>
      <c r="H21" s="19" t="n">
        <f aca="false">COUNTIF('Material Properties'!$B$5:$B$200,A21)</f>
        <v>2</v>
      </c>
      <c r="I21" s="18" t="s">
        <v>20</v>
      </c>
      <c r="J21" s="18" t="s">
        <v>137</v>
      </c>
    </row>
    <row r="22" customFormat="false" ht="35.05" hidden="false" customHeight="false" outlineLevel="0" collapsed="false">
      <c r="A22" s="18" t="n">
        <v>18</v>
      </c>
      <c r="B22" s="18" t="s">
        <v>138</v>
      </c>
      <c r="C22" s="18" t="s">
        <v>139</v>
      </c>
      <c r="D22" s="18" t="s">
        <v>140</v>
      </c>
      <c r="E22" s="18" t="s">
        <v>89</v>
      </c>
      <c r="F22" s="18" t="s">
        <v>131</v>
      </c>
      <c r="G22" s="18" t="s">
        <v>132</v>
      </c>
      <c r="H22" s="19" t="n">
        <f aca="false">COUNTIF('Material Properties'!$B$5:$B$200,A22)</f>
        <v>1</v>
      </c>
      <c r="I22" s="18" t="s">
        <v>20</v>
      </c>
      <c r="J22" s="18" t="s">
        <v>141</v>
      </c>
    </row>
    <row r="23" customFormat="false" ht="35.05" hidden="false" customHeight="false" outlineLevel="0" collapsed="false">
      <c r="A23" s="18" t="n">
        <v>19</v>
      </c>
      <c r="B23" s="18" t="s">
        <v>142</v>
      </c>
      <c r="C23" s="18" t="s">
        <v>143</v>
      </c>
      <c r="D23" s="18" t="s">
        <v>144</v>
      </c>
      <c r="E23" s="18" t="s">
        <v>89</v>
      </c>
      <c r="F23" s="18" t="s">
        <v>145</v>
      </c>
      <c r="G23" s="18" t="s">
        <v>146</v>
      </c>
      <c r="H23" s="19" t="n">
        <f aca="false">COUNTIF('Material Properties'!$B$5:$B$200,A23)</f>
        <v>1</v>
      </c>
      <c r="I23" s="18" t="s">
        <v>20</v>
      </c>
      <c r="J23" s="18" t="s">
        <v>147</v>
      </c>
    </row>
    <row r="24" customFormat="false" ht="35.05" hidden="false" customHeight="false" outlineLevel="0" collapsed="false">
      <c r="A24" s="18" t="n">
        <v>20</v>
      </c>
      <c r="B24" s="18" t="s">
        <v>148</v>
      </c>
      <c r="C24" s="18" t="s">
        <v>149</v>
      </c>
      <c r="D24" s="18" t="s">
        <v>150</v>
      </c>
      <c r="E24" s="18" t="s">
        <v>151</v>
      </c>
      <c r="F24" s="18" t="s">
        <v>145</v>
      </c>
      <c r="G24" s="18" t="s">
        <v>146</v>
      </c>
      <c r="H24" s="19" t="n">
        <f aca="false">COUNTIF('Material Properties'!$B$5:$B$200,A24)</f>
        <v>0</v>
      </c>
      <c r="I24" s="18" t="s">
        <v>20</v>
      </c>
      <c r="J24" s="18" t="s">
        <v>152</v>
      </c>
    </row>
    <row r="25" customFormat="false" ht="35.05" hidden="false" customHeight="false" outlineLevel="0" collapsed="false">
      <c r="A25" s="18" t="n">
        <v>21</v>
      </c>
      <c r="B25" s="18" t="s">
        <v>153</v>
      </c>
      <c r="C25" s="18" t="s">
        <v>154</v>
      </c>
      <c r="D25" s="18" t="s">
        <v>155</v>
      </c>
      <c r="E25" s="18" t="s">
        <v>156</v>
      </c>
      <c r="F25" s="18" t="s">
        <v>145</v>
      </c>
      <c r="G25" s="18" t="s">
        <v>146</v>
      </c>
      <c r="H25" s="19" t="n">
        <f aca="false">COUNTIF('Material Properties'!$B$5:$B$200,A25)</f>
        <v>0</v>
      </c>
      <c r="I25" s="18" t="s">
        <v>20</v>
      </c>
      <c r="J25" s="18"/>
    </row>
    <row r="26" customFormat="false" ht="35.05" hidden="false" customHeight="false" outlineLevel="0" collapsed="false">
      <c r="A26" s="18" t="n">
        <v>22</v>
      </c>
      <c r="B26" s="18" t="s">
        <v>157</v>
      </c>
      <c r="C26" s="18" t="s">
        <v>158</v>
      </c>
      <c r="D26" s="18" t="s">
        <v>155</v>
      </c>
      <c r="E26" s="18" t="s">
        <v>159</v>
      </c>
      <c r="F26" s="18" t="s">
        <v>145</v>
      </c>
      <c r="G26" s="18" t="s">
        <v>146</v>
      </c>
      <c r="H26" s="19" t="n">
        <f aca="false">COUNTIF('Material Properties'!$B$5:$B$200,A26)</f>
        <v>0</v>
      </c>
      <c r="I26" s="18" t="s">
        <v>20</v>
      </c>
      <c r="J26" s="18"/>
    </row>
    <row r="27" customFormat="false" ht="35.05" hidden="false" customHeight="false" outlineLevel="0" collapsed="false">
      <c r="A27" s="18" t="n">
        <v>23</v>
      </c>
      <c r="B27" s="18" t="s">
        <v>160</v>
      </c>
      <c r="C27" s="18" t="s">
        <v>161</v>
      </c>
      <c r="D27" s="18" t="s">
        <v>162</v>
      </c>
      <c r="E27" s="18" t="s">
        <v>163</v>
      </c>
      <c r="F27" s="18" t="s">
        <v>131</v>
      </c>
      <c r="G27" s="18" t="s">
        <v>132</v>
      </c>
      <c r="H27" s="19" t="n">
        <f aca="false">COUNTIF('Material Properties'!$B$5:$B$200,A27)</f>
        <v>0</v>
      </c>
      <c r="I27" s="18" t="s">
        <v>20</v>
      </c>
      <c r="J27" s="18" t="s">
        <v>164</v>
      </c>
    </row>
    <row r="28" customFormat="false" ht="35.05" hidden="false" customHeight="false" outlineLevel="0" collapsed="false">
      <c r="A28" s="18" t="n">
        <v>24</v>
      </c>
      <c r="B28" s="18" t="s">
        <v>165</v>
      </c>
      <c r="C28" s="18" t="s">
        <v>166</v>
      </c>
      <c r="D28" s="18" t="s">
        <v>162</v>
      </c>
      <c r="E28" s="18" t="s">
        <v>163</v>
      </c>
      <c r="F28" s="18" t="s">
        <v>131</v>
      </c>
      <c r="G28" s="18" t="s">
        <v>132</v>
      </c>
      <c r="H28" s="19" t="n">
        <f aca="false">COUNTIF('Material Properties'!$B$5:$B$200,A28)</f>
        <v>0</v>
      </c>
      <c r="I28" s="18" t="s">
        <v>20</v>
      </c>
      <c r="J28" s="18" t="s">
        <v>167</v>
      </c>
    </row>
    <row r="29" customFormat="false" ht="35.05" hidden="false" customHeight="false" outlineLevel="0" collapsed="false">
      <c r="A29" s="18" t="n">
        <v>25</v>
      </c>
      <c r="B29" s="18" t="s">
        <v>168</v>
      </c>
      <c r="C29" s="18" t="s">
        <v>169</v>
      </c>
      <c r="D29" s="18" t="s">
        <v>129</v>
      </c>
      <c r="E29" s="18" t="s">
        <v>170</v>
      </c>
      <c r="F29" s="18" t="s">
        <v>131</v>
      </c>
      <c r="G29" s="18" t="s">
        <v>132</v>
      </c>
      <c r="H29" s="19" t="n">
        <f aca="false">COUNTIF('Material Properties'!$B$5:$B$200,A29)</f>
        <v>0</v>
      </c>
      <c r="I29" s="18" t="s">
        <v>20</v>
      </c>
      <c r="J29" s="18"/>
    </row>
    <row r="30" customFormat="false" ht="35.05" hidden="false" customHeight="false" outlineLevel="0" collapsed="false">
      <c r="A30" s="18" t="n">
        <v>26</v>
      </c>
      <c r="B30" s="18" t="s">
        <v>171</v>
      </c>
      <c r="C30" s="18" t="s">
        <v>172</v>
      </c>
      <c r="D30" s="18" t="s">
        <v>140</v>
      </c>
      <c r="E30" s="18" t="s">
        <v>170</v>
      </c>
      <c r="F30" s="18" t="s">
        <v>131</v>
      </c>
      <c r="G30" s="18" t="s">
        <v>132</v>
      </c>
      <c r="H30" s="19" t="n">
        <f aca="false">COUNTIF('Material Properties'!$B$5:$B$200,A30)</f>
        <v>0</v>
      </c>
      <c r="I30" s="18" t="s">
        <v>20</v>
      </c>
      <c r="J30" s="18" t="s">
        <v>173</v>
      </c>
    </row>
    <row r="31" customFormat="false" ht="35.05" hidden="false" customHeight="false" outlineLevel="0" collapsed="false">
      <c r="A31" s="18" t="n">
        <v>27</v>
      </c>
      <c r="B31" s="18" t="s">
        <v>174</v>
      </c>
      <c r="C31" s="18" t="s">
        <v>175</v>
      </c>
      <c r="D31" s="18" t="s">
        <v>144</v>
      </c>
      <c r="E31" s="18" t="s">
        <v>159</v>
      </c>
      <c r="F31" s="18" t="s">
        <v>145</v>
      </c>
      <c r="G31" s="18" t="s">
        <v>146</v>
      </c>
      <c r="H31" s="19" t="n">
        <f aca="false">COUNTIF('Material Properties'!$B$5:$B$200,A31)</f>
        <v>0</v>
      </c>
      <c r="I31" s="18" t="s">
        <v>20</v>
      </c>
      <c r="J31" s="18" t="s">
        <v>176</v>
      </c>
    </row>
    <row r="32" customFormat="false" ht="35.05" hidden="false" customHeight="false" outlineLevel="0" collapsed="false">
      <c r="A32" s="18" t="n">
        <v>28</v>
      </c>
      <c r="B32" s="18" t="s">
        <v>177</v>
      </c>
      <c r="C32" s="18" t="s">
        <v>178</v>
      </c>
      <c r="D32" s="18" t="s">
        <v>179</v>
      </c>
      <c r="E32" s="18" t="s">
        <v>180</v>
      </c>
      <c r="F32" s="18" t="s">
        <v>93</v>
      </c>
      <c r="G32" s="18" t="s">
        <v>94</v>
      </c>
      <c r="H32" s="19" t="n">
        <f aca="false">COUNTIF('Material Properties'!$B$5:$B$200,A32)</f>
        <v>0</v>
      </c>
      <c r="I32" s="18" t="s">
        <v>21</v>
      </c>
      <c r="J32" s="18" t="s">
        <v>181</v>
      </c>
    </row>
    <row r="33" customFormat="false" ht="35.05" hidden="false" customHeight="false" outlineLevel="0" collapsed="false">
      <c r="A33" s="18" t="n">
        <v>29</v>
      </c>
      <c r="B33" s="18" t="s">
        <v>182</v>
      </c>
      <c r="C33" s="18" t="s">
        <v>183</v>
      </c>
      <c r="D33" s="18" t="s">
        <v>184</v>
      </c>
      <c r="E33" s="18" t="s">
        <v>185</v>
      </c>
      <c r="F33" s="18" t="s">
        <v>131</v>
      </c>
      <c r="G33" s="18" t="s">
        <v>132</v>
      </c>
      <c r="H33" s="19" t="n">
        <f aca="false">COUNTIF('Material Properties'!$B$5:$B$200,A33)</f>
        <v>0</v>
      </c>
      <c r="I33" s="18" t="s">
        <v>21</v>
      </c>
      <c r="J33" s="18" t="s">
        <v>186</v>
      </c>
    </row>
    <row r="34" customFormat="false" ht="35.05" hidden="false" customHeight="false" outlineLevel="0" collapsed="false">
      <c r="A34" s="18" t="n">
        <v>30</v>
      </c>
      <c r="B34" s="18" t="s">
        <v>187</v>
      </c>
      <c r="C34" s="18" t="s">
        <v>188</v>
      </c>
      <c r="D34" s="18" t="s">
        <v>184</v>
      </c>
      <c r="E34" s="18" t="s">
        <v>185</v>
      </c>
      <c r="F34" s="18" t="s">
        <v>131</v>
      </c>
      <c r="G34" s="18" t="s">
        <v>132</v>
      </c>
      <c r="H34" s="19" t="n">
        <f aca="false">COUNTIF('Material Properties'!$B$5:$B$200,A34)</f>
        <v>0</v>
      </c>
      <c r="I34" s="18" t="s">
        <v>21</v>
      </c>
      <c r="J34" s="18" t="s">
        <v>186</v>
      </c>
    </row>
    <row r="35" customFormat="false" ht="35.05" hidden="false" customHeight="false" outlineLevel="0" collapsed="false">
      <c r="A35" s="18" t="n">
        <v>31</v>
      </c>
      <c r="B35" s="18" t="s">
        <v>189</v>
      </c>
      <c r="C35" s="18" t="s">
        <v>190</v>
      </c>
      <c r="D35" s="18" t="s">
        <v>191</v>
      </c>
      <c r="E35" s="18" t="s">
        <v>192</v>
      </c>
      <c r="F35" s="18" t="s">
        <v>193</v>
      </c>
      <c r="G35" s="18" t="s">
        <v>194</v>
      </c>
      <c r="H35" s="19" t="n">
        <f aca="false">COUNTIF('Material Properties'!$B$5:$B$200,A35)</f>
        <v>0</v>
      </c>
      <c r="I35" s="18" t="s">
        <v>20</v>
      </c>
      <c r="J35" s="18" t="s">
        <v>195</v>
      </c>
    </row>
    <row r="36" customFormat="false" ht="35.05" hidden="false" customHeight="false" outlineLevel="0" collapsed="false">
      <c r="A36" s="18" t="n">
        <v>32</v>
      </c>
      <c r="B36" s="18" t="s">
        <v>196</v>
      </c>
      <c r="C36" s="18" t="s">
        <v>197</v>
      </c>
      <c r="D36" s="18" t="s">
        <v>198</v>
      </c>
      <c r="E36" s="18" t="s">
        <v>199</v>
      </c>
      <c r="F36" s="18" t="s">
        <v>193</v>
      </c>
      <c r="G36" s="18" t="s">
        <v>194</v>
      </c>
      <c r="H36" s="19" t="n">
        <f aca="false">COUNTIF('Material Properties'!$B$5:$B$200,A36)</f>
        <v>0</v>
      </c>
      <c r="I36" s="18" t="s">
        <v>20</v>
      </c>
      <c r="J36" s="18" t="s">
        <v>200</v>
      </c>
    </row>
    <row r="37" customFormat="false" ht="35.05" hidden="false" customHeight="false" outlineLevel="0" collapsed="false">
      <c r="A37" s="18" t="n">
        <v>33</v>
      </c>
      <c r="B37" s="18" t="s">
        <v>201</v>
      </c>
      <c r="C37" s="18" t="s">
        <v>202</v>
      </c>
      <c r="D37" s="18" t="s">
        <v>198</v>
      </c>
      <c r="E37" s="18" t="s">
        <v>203</v>
      </c>
      <c r="F37" s="18" t="s">
        <v>193</v>
      </c>
      <c r="G37" s="18" t="s">
        <v>194</v>
      </c>
      <c r="H37" s="19" t="n">
        <f aca="false">COUNTIF('Material Properties'!$B$5:$B$200,A37)</f>
        <v>1</v>
      </c>
      <c r="I37" s="18" t="s">
        <v>20</v>
      </c>
      <c r="J37" s="18"/>
    </row>
    <row r="38" customFormat="false" ht="35.05" hidden="false" customHeight="false" outlineLevel="0" collapsed="false">
      <c r="A38" s="18" t="n">
        <v>34</v>
      </c>
      <c r="B38" s="18" t="s">
        <v>204</v>
      </c>
      <c r="C38" s="18" t="s">
        <v>205</v>
      </c>
      <c r="D38" s="18" t="s">
        <v>206</v>
      </c>
      <c r="E38" s="18" t="s">
        <v>203</v>
      </c>
      <c r="F38" s="18" t="s">
        <v>193</v>
      </c>
      <c r="G38" s="18" t="s">
        <v>194</v>
      </c>
      <c r="H38" s="19" t="n">
        <f aca="false">COUNTIF('Material Properties'!$B$5:$B$200,A38)</f>
        <v>0</v>
      </c>
      <c r="I38" s="18" t="s">
        <v>20</v>
      </c>
      <c r="J38" s="18" t="s">
        <v>207</v>
      </c>
    </row>
    <row r="39" customFormat="false" ht="35.05" hidden="false" customHeight="false" outlineLevel="0" collapsed="false">
      <c r="A39" s="18" t="n">
        <v>35</v>
      </c>
      <c r="B39" s="18" t="s">
        <v>208</v>
      </c>
      <c r="C39" s="18" t="s">
        <v>209</v>
      </c>
      <c r="D39" s="18" t="s">
        <v>198</v>
      </c>
      <c r="E39" s="18" t="s">
        <v>203</v>
      </c>
      <c r="F39" s="18" t="s">
        <v>193</v>
      </c>
      <c r="G39" s="18" t="s">
        <v>194</v>
      </c>
      <c r="H39" s="19" t="n">
        <f aca="false">COUNTIF('Material Properties'!$B$5:$B$200,A39)</f>
        <v>0</v>
      </c>
      <c r="I39" s="18" t="s">
        <v>20</v>
      </c>
      <c r="J39" s="18"/>
    </row>
    <row r="40" customFormat="false" ht="35.05" hidden="false" customHeight="false" outlineLevel="0" collapsed="false">
      <c r="A40" s="18" t="n">
        <v>36</v>
      </c>
      <c r="B40" s="18" t="s">
        <v>210</v>
      </c>
      <c r="C40" s="18" t="s">
        <v>211</v>
      </c>
      <c r="D40" s="18" t="s">
        <v>206</v>
      </c>
      <c r="E40" s="18" t="s">
        <v>203</v>
      </c>
      <c r="F40" s="18" t="s">
        <v>193</v>
      </c>
      <c r="G40" s="18" t="s">
        <v>194</v>
      </c>
      <c r="H40" s="19" t="n">
        <f aca="false">COUNTIF('Material Properties'!$B$5:$B$200,A40)</f>
        <v>1</v>
      </c>
      <c r="I40" s="18" t="s">
        <v>20</v>
      </c>
      <c r="J40" s="18"/>
    </row>
    <row r="41" customFormat="false" ht="35.05" hidden="false" customHeight="false" outlineLevel="0" collapsed="false">
      <c r="A41" s="18" t="n">
        <v>37</v>
      </c>
      <c r="B41" s="18" t="s">
        <v>212</v>
      </c>
      <c r="C41" s="18" t="s">
        <v>213</v>
      </c>
      <c r="D41" s="18" t="s">
        <v>214</v>
      </c>
      <c r="E41" s="18" t="s">
        <v>215</v>
      </c>
      <c r="F41" s="18" t="s">
        <v>193</v>
      </c>
      <c r="G41" s="18" t="s">
        <v>194</v>
      </c>
      <c r="H41" s="19" t="n">
        <f aca="false">COUNTIF('Material Properties'!$B$5:$B$200,A41)</f>
        <v>0</v>
      </c>
      <c r="I41" s="18" t="s">
        <v>20</v>
      </c>
      <c r="J41" s="18" t="s">
        <v>216</v>
      </c>
    </row>
    <row r="42" customFormat="false" ht="35.05" hidden="false" customHeight="false" outlineLevel="0" collapsed="false">
      <c r="A42" s="18" t="n">
        <v>38</v>
      </c>
      <c r="B42" s="18" t="s">
        <v>217</v>
      </c>
      <c r="C42" s="18" t="s">
        <v>218</v>
      </c>
      <c r="D42" s="18" t="s">
        <v>219</v>
      </c>
      <c r="E42" s="18" t="s">
        <v>215</v>
      </c>
      <c r="F42" s="18" t="s">
        <v>193</v>
      </c>
      <c r="G42" s="18" t="s">
        <v>194</v>
      </c>
      <c r="H42" s="19" t="n">
        <f aca="false">COUNTIF('Material Properties'!$B$5:$B$200,A42)</f>
        <v>0</v>
      </c>
      <c r="I42" s="18" t="s">
        <v>20</v>
      </c>
      <c r="J42" s="18" t="s">
        <v>220</v>
      </c>
    </row>
    <row r="43" customFormat="false" ht="35.05" hidden="false" customHeight="false" outlineLevel="0" collapsed="false">
      <c r="A43" s="18" t="n">
        <v>39</v>
      </c>
      <c r="B43" s="18" t="s">
        <v>221</v>
      </c>
      <c r="C43" s="18" t="s">
        <v>222</v>
      </c>
      <c r="D43" s="18" t="s">
        <v>223</v>
      </c>
      <c r="E43" s="18" t="s">
        <v>224</v>
      </c>
      <c r="F43" s="18" t="s">
        <v>225</v>
      </c>
      <c r="G43" s="18" t="s">
        <v>226</v>
      </c>
      <c r="H43" s="19" t="n">
        <f aca="false">COUNTIF('Material Properties'!$B$5:$B$200,A43)</f>
        <v>0</v>
      </c>
      <c r="I43" s="18" t="s">
        <v>20</v>
      </c>
      <c r="J43" s="18" t="s">
        <v>227</v>
      </c>
    </row>
    <row r="44" customFormat="false" ht="35.05" hidden="false" customHeight="false" outlineLevel="0" collapsed="false">
      <c r="A44" s="18" t="n">
        <v>40</v>
      </c>
      <c r="B44" s="18" t="s">
        <v>228</v>
      </c>
      <c r="C44" s="18" t="s">
        <v>229</v>
      </c>
      <c r="D44" s="18" t="s">
        <v>223</v>
      </c>
      <c r="E44" s="18" t="s">
        <v>230</v>
      </c>
      <c r="F44" s="18" t="s">
        <v>225</v>
      </c>
      <c r="G44" s="18" t="s">
        <v>226</v>
      </c>
      <c r="H44" s="19" t="n">
        <f aca="false">COUNTIF('Material Properties'!$B$5:$B$200,A44)</f>
        <v>0</v>
      </c>
      <c r="I44" s="18" t="s">
        <v>20</v>
      </c>
      <c r="J44" s="18"/>
    </row>
    <row r="45" customFormat="false" ht="23.85" hidden="false" customHeight="false" outlineLevel="0" collapsed="false">
      <c r="A45" s="18" t="n">
        <v>41</v>
      </c>
      <c r="B45" s="18" t="s">
        <v>231</v>
      </c>
      <c r="C45" s="18" t="s">
        <v>232</v>
      </c>
      <c r="D45" s="18" t="s">
        <v>233</v>
      </c>
      <c r="E45" s="18" t="s">
        <v>215</v>
      </c>
      <c r="F45" s="18" t="s">
        <v>234</v>
      </c>
      <c r="G45" s="18" t="s">
        <v>235</v>
      </c>
      <c r="H45" s="19" t="n">
        <f aca="false">COUNTIF('Material Properties'!$B$5:$B$200,A45)</f>
        <v>1</v>
      </c>
      <c r="I45" s="18" t="s">
        <v>20</v>
      </c>
      <c r="J45" s="18"/>
    </row>
    <row r="46" customFormat="false" ht="35.05" hidden="false" customHeight="false" outlineLevel="0" collapsed="false">
      <c r="A46" s="18" t="n">
        <v>42</v>
      </c>
      <c r="B46" s="18" t="s">
        <v>236</v>
      </c>
      <c r="C46" s="18" t="s">
        <v>237</v>
      </c>
      <c r="D46" s="18" t="s">
        <v>238</v>
      </c>
      <c r="E46" s="18" t="s">
        <v>230</v>
      </c>
      <c r="F46" s="18" t="s">
        <v>225</v>
      </c>
      <c r="G46" s="18" t="s">
        <v>226</v>
      </c>
      <c r="H46" s="19" t="n">
        <f aca="false">COUNTIF('Material Properties'!$B$5:$B$200,A46)</f>
        <v>1</v>
      </c>
      <c r="I46" s="18" t="s">
        <v>20</v>
      </c>
      <c r="J46" s="18" t="s">
        <v>239</v>
      </c>
    </row>
    <row r="47" customFormat="false" ht="35.05" hidden="false" customHeight="false" outlineLevel="0" collapsed="false">
      <c r="A47" s="18" t="n">
        <v>43</v>
      </c>
      <c r="B47" s="18" t="s">
        <v>240</v>
      </c>
      <c r="C47" s="18" t="s">
        <v>241</v>
      </c>
      <c r="D47" s="18" t="s">
        <v>242</v>
      </c>
      <c r="E47" s="18" t="s">
        <v>243</v>
      </c>
      <c r="F47" s="18" t="s">
        <v>244</v>
      </c>
      <c r="G47" s="18" t="s">
        <v>245</v>
      </c>
      <c r="H47" s="19" t="n">
        <f aca="false">COUNTIF('Material Properties'!$B$5:$B$200,A47)</f>
        <v>1</v>
      </c>
      <c r="I47" s="18" t="s">
        <v>20</v>
      </c>
      <c r="J47" s="18" t="s">
        <v>246</v>
      </c>
    </row>
    <row r="48" customFormat="false" ht="23.85" hidden="false" customHeight="false" outlineLevel="0" collapsed="false">
      <c r="A48" s="18" t="n">
        <v>44</v>
      </c>
      <c r="B48" s="18" t="s">
        <v>247</v>
      </c>
      <c r="C48" s="18" t="s">
        <v>248</v>
      </c>
      <c r="D48" s="18" t="s">
        <v>249</v>
      </c>
      <c r="E48" s="18" t="s">
        <v>250</v>
      </c>
      <c r="F48" s="18" t="s">
        <v>251</v>
      </c>
      <c r="G48" s="18" t="s">
        <v>252</v>
      </c>
      <c r="H48" s="19" t="n">
        <f aca="false">COUNTIF('Material Properties'!$B$5:$B$200,A48)</f>
        <v>1</v>
      </c>
      <c r="I48" s="18" t="s">
        <v>20</v>
      </c>
      <c r="J48" s="18" t="s">
        <v>253</v>
      </c>
    </row>
    <row r="49" customFormat="false" ht="35.05" hidden="false" customHeight="false" outlineLevel="0" collapsed="false">
      <c r="A49" s="18" t="n">
        <v>45</v>
      </c>
      <c r="B49" s="18" t="s">
        <v>254</v>
      </c>
      <c r="C49" s="18" t="s">
        <v>255</v>
      </c>
      <c r="D49" s="18" t="s">
        <v>256</v>
      </c>
      <c r="E49" s="18" t="s">
        <v>257</v>
      </c>
      <c r="F49" s="18" t="s">
        <v>258</v>
      </c>
      <c r="G49" s="18" t="s">
        <v>259</v>
      </c>
      <c r="H49" s="19" t="n">
        <f aca="false">COUNTIF('Material Properties'!$B$5:$B$200,A49)</f>
        <v>1</v>
      </c>
      <c r="I49" s="18" t="s">
        <v>20</v>
      </c>
      <c r="J49" s="18"/>
    </row>
    <row r="50" customFormat="false" ht="35.05" hidden="false" customHeight="false" outlineLevel="0" collapsed="false">
      <c r="A50" s="18" t="n">
        <v>46</v>
      </c>
      <c r="B50" s="18" t="s">
        <v>260</v>
      </c>
      <c r="C50" s="18" t="s">
        <v>261</v>
      </c>
      <c r="D50" s="18" t="s">
        <v>256</v>
      </c>
      <c r="E50" s="18" t="s">
        <v>257</v>
      </c>
      <c r="F50" s="18" t="s">
        <v>258</v>
      </c>
      <c r="G50" s="18" t="s">
        <v>259</v>
      </c>
      <c r="H50" s="19" t="n">
        <f aca="false">COUNTIF('Material Properties'!$B$5:$B$200,A50)</f>
        <v>1</v>
      </c>
      <c r="I50" s="18" t="s">
        <v>20</v>
      </c>
      <c r="J50" s="18"/>
    </row>
    <row r="51" customFormat="false" ht="35.05" hidden="false" customHeight="false" outlineLevel="0" collapsed="false">
      <c r="A51" s="18" t="n">
        <v>47</v>
      </c>
      <c r="B51" s="18" t="s">
        <v>262</v>
      </c>
      <c r="C51" s="18" t="s">
        <v>263</v>
      </c>
      <c r="D51" s="18" t="s">
        <v>256</v>
      </c>
      <c r="E51" s="18" t="s">
        <v>257</v>
      </c>
      <c r="F51" s="18" t="s">
        <v>258</v>
      </c>
      <c r="G51" s="18" t="s">
        <v>259</v>
      </c>
      <c r="H51" s="19" t="n">
        <f aca="false">COUNTIF('Material Properties'!$B$5:$B$200,A51)</f>
        <v>1</v>
      </c>
      <c r="I51" s="18" t="s">
        <v>20</v>
      </c>
      <c r="J51" s="18" t="s">
        <v>264</v>
      </c>
    </row>
    <row r="52" customFormat="false" ht="23.85" hidden="false" customHeight="false" outlineLevel="0" collapsed="false">
      <c r="A52" s="18" t="n">
        <v>48</v>
      </c>
      <c r="B52" s="18" t="s">
        <v>265</v>
      </c>
      <c r="C52" s="18" t="s">
        <v>266</v>
      </c>
      <c r="D52" s="18" t="s">
        <v>267</v>
      </c>
      <c r="E52" s="18" t="s">
        <v>257</v>
      </c>
      <c r="F52" s="18" t="s">
        <v>268</v>
      </c>
      <c r="G52" s="18" t="s">
        <v>269</v>
      </c>
      <c r="H52" s="19" t="n">
        <f aca="false">COUNTIF('Material Properties'!$B$5:$B$200,A52)</f>
        <v>0</v>
      </c>
      <c r="I52" s="18" t="s">
        <v>20</v>
      </c>
      <c r="J52" s="18"/>
    </row>
    <row r="53" customFormat="false" ht="23.85" hidden="false" customHeight="false" outlineLevel="0" collapsed="false">
      <c r="A53" s="18" t="n">
        <v>49</v>
      </c>
      <c r="B53" s="18" t="s">
        <v>270</v>
      </c>
      <c r="C53" s="18" t="s">
        <v>271</v>
      </c>
      <c r="D53" s="18" t="s">
        <v>267</v>
      </c>
      <c r="E53" s="18" t="s">
        <v>257</v>
      </c>
      <c r="F53" s="18" t="s">
        <v>268</v>
      </c>
      <c r="G53" s="18" t="s">
        <v>269</v>
      </c>
      <c r="H53" s="19" t="n">
        <f aca="false">COUNTIF('Material Properties'!$B$5:$B$200,A53)</f>
        <v>1</v>
      </c>
      <c r="I53" s="18" t="s">
        <v>20</v>
      </c>
      <c r="J53" s="18"/>
    </row>
    <row r="54" customFormat="false" ht="23.85" hidden="false" customHeight="false" outlineLevel="0" collapsed="false">
      <c r="A54" s="18" t="n">
        <v>50</v>
      </c>
      <c r="B54" s="18" t="s">
        <v>272</v>
      </c>
      <c r="C54" s="18" t="s">
        <v>273</v>
      </c>
      <c r="D54" s="18" t="s">
        <v>274</v>
      </c>
      <c r="E54" s="18" t="s">
        <v>275</v>
      </c>
      <c r="F54" s="18" t="s">
        <v>276</v>
      </c>
      <c r="G54" s="18" t="s">
        <v>277</v>
      </c>
      <c r="H54" s="19" t="n">
        <f aca="false">COUNTIF('Material Properties'!$B$5:$B$200,A54)</f>
        <v>1</v>
      </c>
      <c r="I54" s="18" t="s">
        <v>20</v>
      </c>
      <c r="J54" s="18"/>
    </row>
    <row r="55" customFormat="false" ht="23.85" hidden="false" customHeight="false" outlineLevel="0" collapsed="false">
      <c r="A55" s="18" t="n">
        <v>51</v>
      </c>
      <c r="B55" s="18" t="s">
        <v>278</v>
      </c>
      <c r="C55" s="18" t="s">
        <v>279</v>
      </c>
      <c r="D55" s="18" t="s">
        <v>274</v>
      </c>
      <c r="E55" s="18" t="s">
        <v>275</v>
      </c>
      <c r="F55" s="18" t="s">
        <v>276</v>
      </c>
      <c r="G55" s="18" t="s">
        <v>277</v>
      </c>
      <c r="H55" s="19" t="n">
        <f aca="false">COUNTIF('Material Properties'!$B$5:$B$200,A55)</f>
        <v>0</v>
      </c>
      <c r="I55" s="18" t="s">
        <v>20</v>
      </c>
      <c r="J55" s="18" t="s">
        <v>280</v>
      </c>
    </row>
    <row r="56" customFormat="false" ht="35.05" hidden="false" customHeight="false" outlineLevel="0" collapsed="false">
      <c r="A56" s="18" t="n">
        <v>52</v>
      </c>
      <c r="B56" s="18" t="s">
        <v>281</v>
      </c>
      <c r="C56" s="18" t="s">
        <v>282</v>
      </c>
      <c r="D56" s="18" t="s">
        <v>283</v>
      </c>
      <c r="E56" s="18" t="s">
        <v>284</v>
      </c>
      <c r="F56" s="18" t="s">
        <v>285</v>
      </c>
      <c r="G56" s="18" t="s">
        <v>286</v>
      </c>
      <c r="H56" s="19" t="n">
        <f aca="false">COUNTIF('Material Properties'!$B$5:$B$200,A56)</f>
        <v>1</v>
      </c>
      <c r="I56" s="18" t="s">
        <v>20</v>
      </c>
      <c r="J56" s="18" t="s">
        <v>287</v>
      </c>
    </row>
    <row r="57" customFormat="false" ht="23.85" hidden="false" customHeight="false" outlineLevel="0" collapsed="false">
      <c r="A57" s="18" t="n">
        <v>53</v>
      </c>
      <c r="B57" s="18" t="s">
        <v>288</v>
      </c>
      <c r="C57" s="18" t="s">
        <v>289</v>
      </c>
      <c r="D57" s="18" t="s">
        <v>290</v>
      </c>
      <c r="E57" s="18" t="s">
        <v>291</v>
      </c>
      <c r="F57" s="18" t="s">
        <v>292</v>
      </c>
      <c r="G57" s="18" t="s">
        <v>293</v>
      </c>
      <c r="H57" s="19" t="n">
        <f aca="false">COUNTIF('Material Properties'!$B$5:$B$200,A57)</f>
        <v>0</v>
      </c>
      <c r="I57" s="18" t="s">
        <v>20</v>
      </c>
      <c r="J57" s="18"/>
    </row>
    <row r="58" customFormat="false" ht="23.85" hidden="false" customHeight="false" outlineLevel="0" collapsed="false">
      <c r="A58" s="18" t="n">
        <v>54</v>
      </c>
      <c r="B58" s="18" t="s">
        <v>294</v>
      </c>
      <c r="C58" s="18" t="s">
        <v>295</v>
      </c>
      <c r="D58" s="18" t="s">
        <v>290</v>
      </c>
      <c r="E58" s="18" t="s">
        <v>89</v>
      </c>
      <c r="F58" s="18" t="s">
        <v>292</v>
      </c>
      <c r="G58" s="18" t="s">
        <v>293</v>
      </c>
      <c r="H58" s="19" t="n">
        <f aca="false">COUNTIF('Material Properties'!$B$5:$B$200,A58)</f>
        <v>0</v>
      </c>
      <c r="I58" s="18" t="s">
        <v>20</v>
      </c>
      <c r="J58" s="18"/>
    </row>
    <row r="59" customFormat="false" ht="23.85" hidden="false" customHeight="false" outlineLevel="0" collapsed="false">
      <c r="A59" s="18" t="n">
        <v>55</v>
      </c>
      <c r="B59" s="18" t="s">
        <v>296</v>
      </c>
      <c r="C59" s="18" t="s">
        <v>297</v>
      </c>
      <c r="D59" s="18" t="s">
        <v>290</v>
      </c>
      <c r="E59" s="18" t="s">
        <v>298</v>
      </c>
      <c r="F59" s="18" t="s">
        <v>292</v>
      </c>
      <c r="G59" s="18" t="s">
        <v>293</v>
      </c>
      <c r="H59" s="19" t="n">
        <f aca="false">COUNTIF('Material Properties'!$B$5:$B$200,A59)</f>
        <v>0</v>
      </c>
      <c r="I59" s="18" t="s">
        <v>20</v>
      </c>
      <c r="J59" s="18" t="s">
        <v>299</v>
      </c>
    </row>
    <row r="60" customFormat="false" ht="35.05" hidden="false" customHeight="false" outlineLevel="0" collapsed="false">
      <c r="A60" s="18" t="n">
        <v>56</v>
      </c>
      <c r="B60" s="18" t="s">
        <v>300</v>
      </c>
      <c r="C60" s="18" t="s">
        <v>301</v>
      </c>
      <c r="D60" s="18" t="s">
        <v>302</v>
      </c>
      <c r="E60" s="18" t="s">
        <v>303</v>
      </c>
      <c r="F60" s="18" t="s">
        <v>304</v>
      </c>
      <c r="G60" s="18" t="s">
        <v>305</v>
      </c>
      <c r="H60" s="19" t="n">
        <f aca="false">COUNTIF('Material Properties'!$B$5:$B$200,A60)</f>
        <v>1</v>
      </c>
      <c r="I60" s="18" t="s">
        <v>20</v>
      </c>
      <c r="J60" s="18" t="s">
        <v>306</v>
      </c>
    </row>
    <row r="61" customFormat="false" ht="35.05" hidden="false" customHeight="false" outlineLevel="0" collapsed="false">
      <c r="A61" s="18" t="n">
        <v>57</v>
      </c>
      <c r="B61" s="18" t="s">
        <v>307</v>
      </c>
      <c r="C61" s="18" t="s">
        <v>308</v>
      </c>
      <c r="D61" s="18" t="s">
        <v>302</v>
      </c>
      <c r="E61" s="18" t="s">
        <v>303</v>
      </c>
      <c r="F61" s="18" t="s">
        <v>304</v>
      </c>
      <c r="G61" s="18" t="s">
        <v>305</v>
      </c>
      <c r="H61" s="19" t="n">
        <f aca="false">COUNTIF('Material Properties'!$B$5:$B$200,A61)</f>
        <v>1</v>
      </c>
      <c r="I61" s="18" t="s">
        <v>20</v>
      </c>
      <c r="J61" s="18"/>
    </row>
    <row r="62" customFormat="false" ht="35.05" hidden="false" customHeight="false" outlineLevel="0" collapsed="false">
      <c r="A62" s="18" t="n">
        <v>58</v>
      </c>
      <c r="B62" s="18" t="s">
        <v>309</v>
      </c>
      <c r="C62" s="18" t="s">
        <v>310</v>
      </c>
      <c r="D62" s="18" t="s">
        <v>302</v>
      </c>
      <c r="E62" s="18" t="s">
        <v>303</v>
      </c>
      <c r="F62" s="18" t="s">
        <v>304</v>
      </c>
      <c r="G62" s="18" t="s">
        <v>305</v>
      </c>
      <c r="H62" s="19" t="n">
        <f aca="false">COUNTIF('Material Properties'!$B$5:$B$200,A62)</f>
        <v>1</v>
      </c>
      <c r="I62" s="18" t="s">
        <v>20</v>
      </c>
      <c r="J62" s="18"/>
    </row>
    <row r="63" customFormat="false" ht="35.05" hidden="false" customHeight="false" outlineLevel="0" collapsed="false">
      <c r="A63" s="18" t="n">
        <v>59</v>
      </c>
      <c r="B63" s="18" t="s">
        <v>311</v>
      </c>
      <c r="C63" s="18" t="s">
        <v>312</v>
      </c>
      <c r="D63" s="18" t="s">
        <v>302</v>
      </c>
      <c r="E63" s="18" t="s">
        <v>313</v>
      </c>
      <c r="F63" s="18" t="s">
        <v>304</v>
      </c>
      <c r="G63" s="18" t="s">
        <v>305</v>
      </c>
      <c r="H63" s="19" t="n">
        <f aca="false">COUNTIF('Material Properties'!$B$5:$B$200,A63)</f>
        <v>1</v>
      </c>
      <c r="I63" s="18" t="s">
        <v>20</v>
      </c>
      <c r="J63" s="18"/>
    </row>
    <row r="64" customFormat="false" ht="35.05" hidden="false" customHeight="false" outlineLevel="0" collapsed="false">
      <c r="A64" s="18" t="n">
        <v>60</v>
      </c>
      <c r="B64" s="18" t="s">
        <v>314</v>
      </c>
      <c r="C64" s="18" t="s">
        <v>315</v>
      </c>
      <c r="D64" s="18" t="s">
        <v>302</v>
      </c>
      <c r="E64" s="18" t="s">
        <v>313</v>
      </c>
      <c r="F64" s="18" t="s">
        <v>304</v>
      </c>
      <c r="G64" s="18" t="s">
        <v>305</v>
      </c>
      <c r="H64" s="19" t="n">
        <f aca="false">COUNTIF('Material Properties'!$B$5:$B$200,A64)</f>
        <v>1</v>
      </c>
      <c r="I64" s="18" t="s">
        <v>20</v>
      </c>
      <c r="J64" s="18"/>
    </row>
    <row r="65" customFormat="false" ht="35.05" hidden="false" customHeight="false" outlineLevel="0" collapsed="false">
      <c r="A65" s="18" t="n">
        <v>61</v>
      </c>
      <c r="B65" s="18" t="s">
        <v>316</v>
      </c>
      <c r="C65" s="18" t="s">
        <v>317</v>
      </c>
      <c r="D65" s="18" t="s">
        <v>318</v>
      </c>
      <c r="E65" s="18" t="s">
        <v>319</v>
      </c>
      <c r="F65" s="18" t="s">
        <v>320</v>
      </c>
      <c r="G65" s="18" t="s">
        <v>321</v>
      </c>
      <c r="H65" s="19" t="n">
        <f aca="false">COUNTIF('Material Properties'!$B$5:$B$200,A65)</f>
        <v>1</v>
      </c>
      <c r="I65" s="18" t="s">
        <v>20</v>
      </c>
      <c r="J65" s="18"/>
    </row>
    <row r="66" customFormat="false" ht="35.05" hidden="false" customHeight="false" outlineLevel="0" collapsed="false">
      <c r="A66" s="18" t="n">
        <v>62</v>
      </c>
      <c r="B66" s="18" t="s">
        <v>322</v>
      </c>
      <c r="C66" s="18" t="s">
        <v>323</v>
      </c>
      <c r="D66" s="18" t="s">
        <v>318</v>
      </c>
      <c r="E66" s="18" t="s">
        <v>319</v>
      </c>
      <c r="F66" s="18" t="s">
        <v>320</v>
      </c>
      <c r="G66" s="18" t="s">
        <v>321</v>
      </c>
      <c r="H66" s="19" t="n">
        <f aca="false">COUNTIF('Material Properties'!$B$5:$B$200,A66)</f>
        <v>1</v>
      </c>
      <c r="I66" s="18" t="s">
        <v>20</v>
      </c>
      <c r="J66" s="18"/>
    </row>
    <row r="67" customFormat="false" ht="35.05" hidden="false" customHeight="false" outlineLevel="0" collapsed="false">
      <c r="A67" s="18" t="n">
        <v>63</v>
      </c>
      <c r="B67" s="18" t="s">
        <v>324</v>
      </c>
      <c r="C67" s="18" t="s">
        <v>325</v>
      </c>
      <c r="D67" s="18" t="s">
        <v>318</v>
      </c>
      <c r="E67" s="18" t="s">
        <v>326</v>
      </c>
      <c r="F67" s="18" t="s">
        <v>320</v>
      </c>
      <c r="G67" s="18" t="s">
        <v>321</v>
      </c>
      <c r="H67" s="19" t="n">
        <f aca="false">COUNTIF('Material Properties'!$B$5:$B$200,A67)</f>
        <v>1</v>
      </c>
      <c r="I67" s="18" t="s">
        <v>20</v>
      </c>
      <c r="J67" s="18"/>
    </row>
    <row r="68" customFormat="false" ht="35.05" hidden="false" customHeight="false" outlineLevel="0" collapsed="false">
      <c r="A68" s="18" t="n">
        <v>64</v>
      </c>
      <c r="B68" s="18" t="s">
        <v>327</v>
      </c>
      <c r="C68" s="18" t="s">
        <v>328</v>
      </c>
      <c r="D68" s="18" t="s">
        <v>302</v>
      </c>
      <c r="E68" s="18" t="s">
        <v>329</v>
      </c>
      <c r="F68" s="18" t="s">
        <v>304</v>
      </c>
      <c r="G68" s="18" t="s">
        <v>305</v>
      </c>
      <c r="H68" s="19" t="n">
        <f aca="false">COUNTIF('Material Properties'!$B$5:$B$200,A68)</f>
        <v>1</v>
      </c>
      <c r="I68" s="18" t="s">
        <v>20</v>
      </c>
      <c r="J68" s="18"/>
    </row>
    <row r="69" customFormat="false" ht="35.05" hidden="false" customHeight="false" outlineLevel="0" collapsed="false">
      <c r="A69" s="18" t="n">
        <v>65</v>
      </c>
      <c r="B69" s="18" t="s">
        <v>330</v>
      </c>
      <c r="C69" s="18" t="s">
        <v>331</v>
      </c>
      <c r="D69" s="18" t="s">
        <v>332</v>
      </c>
      <c r="E69" s="18" t="s">
        <v>333</v>
      </c>
      <c r="F69" s="18" t="s">
        <v>334</v>
      </c>
      <c r="G69" s="18" t="s">
        <v>335</v>
      </c>
      <c r="H69" s="19" t="n">
        <f aca="false">COUNTIF('Material Properties'!$B$5:$B$200,A69)</f>
        <v>0</v>
      </c>
      <c r="I69" s="18" t="s">
        <v>20</v>
      </c>
      <c r="J69" s="18" t="s">
        <v>336</v>
      </c>
    </row>
    <row r="70" customFormat="false" ht="35.05" hidden="false" customHeight="false" outlineLevel="0" collapsed="false">
      <c r="A70" s="18" t="n">
        <v>66</v>
      </c>
      <c r="B70" s="18" t="s">
        <v>337</v>
      </c>
      <c r="C70" s="18" t="s">
        <v>338</v>
      </c>
      <c r="D70" s="18" t="s">
        <v>332</v>
      </c>
      <c r="E70" s="18" t="s">
        <v>339</v>
      </c>
      <c r="F70" s="18" t="s">
        <v>334</v>
      </c>
      <c r="G70" s="18" t="s">
        <v>335</v>
      </c>
      <c r="H70" s="19" t="n">
        <f aca="false">COUNTIF('Material Properties'!$B$5:$B$200,A70)</f>
        <v>0</v>
      </c>
      <c r="I70" s="18" t="s">
        <v>20</v>
      </c>
      <c r="J70" s="18"/>
    </row>
    <row r="71" customFormat="false" ht="46.25" hidden="false" customHeight="false" outlineLevel="0" collapsed="false">
      <c r="A71" s="18" t="n">
        <v>67</v>
      </c>
      <c r="B71" s="18" t="s">
        <v>340</v>
      </c>
      <c r="C71" s="18" t="s">
        <v>341</v>
      </c>
      <c r="D71" s="18" t="s">
        <v>342</v>
      </c>
      <c r="E71" s="18" t="s">
        <v>343</v>
      </c>
      <c r="F71" s="18" t="s">
        <v>344</v>
      </c>
      <c r="G71" s="18" t="s">
        <v>345</v>
      </c>
      <c r="H71" s="19" t="n">
        <f aca="false">COUNTIF('Material Properties'!$B$5:$B$200,A71)</f>
        <v>1</v>
      </c>
      <c r="I71" s="18" t="s">
        <v>20</v>
      </c>
      <c r="J71" s="18" t="s">
        <v>346</v>
      </c>
    </row>
    <row r="72" customFormat="false" ht="46.25" hidden="false" customHeight="false" outlineLevel="0" collapsed="false">
      <c r="A72" s="18" t="n">
        <v>68</v>
      </c>
      <c r="B72" s="18" t="s">
        <v>347</v>
      </c>
      <c r="C72" s="18" t="s">
        <v>348</v>
      </c>
      <c r="D72" s="18" t="s">
        <v>342</v>
      </c>
      <c r="E72" s="18" t="s">
        <v>349</v>
      </c>
      <c r="F72" s="18" t="s">
        <v>344</v>
      </c>
      <c r="G72" s="18" t="s">
        <v>345</v>
      </c>
      <c r="H72" s="19" t="n">
        <f aca="false">COUNTIF('Material Properties'!$B$5:$B$200,A72)</f>
        <v>1</v>
      </c>
      <c r="I72" s="18" t="s">
        <v>20</v>
      </c>
      <c r="J72" s="18" t="s">
        <v>350</v>
      </c>
    </row>
    <row r="73" customFormat="false" ht="35.05" hidden="false" customHeight="false" outlineLevel="0" collapsed="false">
      <c r="A73" s="18" t="n">
        <v>69</v>
      </c>
      <c r="B73" s="18" t="s">
        <v>351</v>
      </c>
      <c r="C73" s="18" t="s">
        <v>352</v>
      </c>
      <c r="D73" s="18" t="s">
        <v>332</v>
      </c>
      <c r="E73" s="18" t="s">
        <v>349</v>
      </c>
      <c r="F73" s="18" t="s">
        <v>334</v>
      </c>
      <c r="G73" s="18" t="s">
        <v>335</v>
      </c>
      <c r="H73" s="19" t="n">
        <f aca="false">COUNTIF('Material Properties'!$B$5:$B$200,A73)</f>
        <v>1</v>
      </c>
      <c r="I73" s="18" t="s">
        <v>20</v>
      </c>
      <c r="J73" s="18"/>
    </row>
    <row r="74" customFormat="false" ht="35.05" hidden="false" customHeight="false" outlineLevel="0" collapsed="false">
      <c r="A74" s="18" t="n">
        <v>70</v>
      </c>
      <c r="B74" s="18" t="s">
        <v>353</v>
      </c>
      <c r="C74" s="18" t="s">
        <v>354</v>
      </c>
      <c r="D74" s="18" t="s">
        <v>332</v>
      </c>
      <c r="E74" s="18" t="s">
        <v>349</v>
      </c>
      <c r="F74" s="18" t="s">
        <v>334</v>
      </c>
      <c r="G74" s="18" t="s">
        <v>335</v>
      </c>
      <c r="H74" s="19" t="n">
        <f aca="false">COUNTIF('Material Properties'!$B$5:$B$200,A74)</f>
        <v>1</v>
      </c>
      <c r="I74" s="18" t="s">
        <v>20</v>
      </c>
      <c r="J74" s="18"/>
    </row>
    <row r="75" customFormat="false" ht="35.05" hidden="false" customHeight="false" outlineLevel="0" collapsed="false">
      <c r="A75" s="18" t="n">
        <v>71</v>
      </c>
      <c r="B75" s="18" t="s">
        <v>355</v>
      </c>
      <c r="C75" s="18" t="s">
        <v>356</v>
      </c>
      <c r="D75" s="18" t="s">
        <v>332</v>
      </c>
      <c r="E75" s="18" t="s">
        <v>357</v>
      </c>
      <c r="F75" s="18" t="s">
        <v>334</v>
      </c>
      <c r="G75" s="18" t="s">
        <v>335</v>
      </c>
      <c r="H75" s="19" t="n">
        <f aca="false">COUNTIF('Material Properties'!$B$5:$B$200,A75)</f>
        <v>1</v>
      </c>
      <c r="I75" s="18" t="s">
        <v>20</v>
      </c>
      <c r="J75" s="18" t="s">
        <v>358</v>
      </c>
    </row>
    <row r="76" customFormat="false" ht="46.25" hidden="false" customHeight="false" outlineLevel="0" collapsed="false">
      <c r="A76" s="18" t="n">
        <v>72</v>
      </c>
      <c r="B76" s="18" t="s">
        <v>359</v>
      </c>
      <c r="C76" s="18" t="s">
        <v>360</v>
      </c>
      <c r="D76" s="18" t="s">
        <v>342</v>
      </c>
      <c r="E76" s="18" t="s">
        <v>361</v>
      </c>
      <c r="F76" s="18" t="s">
        <v>344</v>
      </c>
      <c r="G76" s="18" t="s">
        <v>345</v>
      </c>
      <c r="H76" s="19" t="n">
        <f aca="false">COUNTIF('Material Properties'!$B$5:$B$200,A76)</f>
        <v>1</v>
      </c>
      <c r="I76" s="18" t="s">
        <v>20</v>
      </c>
      <c r="J76" s="18" t="s">
        <v>362</v>
      </c>
    </row>
    <row r="77" customFormat="false" ht="46.25" hidden="false" customHeight="false" outlineLevel="0" collapsed="false">
      <c r="A77" s="18" t="n">
        <v>73</v>
      </c>
      <c r="B77" s="18" t="s">
        <v>363</v>
      </c>
      <c r="C77" s="18" t="s">
        <v>364</v>
      </c>
      <c r="D77" s="18" t="s">
        <v>365</v>
      </c>
      <c r="E77" s="18" t="s">
        <v>366</v>
      </c>
      <c r="F77" s="18" t="s">
        <v>344</v>
      </c>
      <c r="G77" s="18" t="s">
        <v>345</v>
      </c>
      <c r="H77" s="19" t="n">
        <f aca="false">COUNTIF('Material Properties'!$B$5:$B$200,A77)</f>
        <v>0</v>
      </c>
      <c r="I77" s="18" t="s">
        <v>20</v>
      </c>
      <c r="J77" s="18" t="s">
        <v>367</v>
      </c>
    </row>
    <row r="78" customFormat="false" ht="46.25" hidden="false" customHeight="false" outlineLevel="0" collapsed="false">
      <c r="A78" s="18" t="n">
        <v>74</v>
      </c>
      <c r="B78" s="18" t="s">
        <v>368</v>
      </c>
      <c r="C78" s="18" t="s">
        <v>369</v>
      </c>
      <c r="D78" s="18" t="s">
        <v>365</v>
      </c>
      <c r="E78" s="18" t="s">
        <v>366</v>
      </c>
      <c r="F78" s="18" t="s">
        <v>344</v>
      </c>
      <c r="G78" s="18" t="s">
        <v>345</v>
      </c>
      <c r="H78" s="19" t="n">
        <f aca="false">COUNTIF('Material Properties'!$B$5:$B$200,A78)</f>
        <v>1</v>
      </c>
      <c r="I78" s="18" t="s">
        <v>20</v>
      </c>
      <c r="J78" s="18"/>
    </row>
    <row r="79" customFormat="false" ht="46.25" hidden="false" customHeight="false" outlineLevel="0" collapsed="false">
      <c r="A79" s="18" t="n">
        <v>75</v>
      </c>
      <c r="B79" s="18" t="s">
        <v>370</v>
      </c>
      <c r="C79" s="18" t="s">
        <v>371</v>
      </c>
      <c r="D79" s="18" t="s">
        <v>342</v>
      </c>
      <c r="E79" s="18" t="s">
        <v>372</v>
      </c>
      <c r="F79" s="18" t="s">
        <v>344</v>
      </c>
      <c r="G79" s="18" t="s">
        <v>345</v>
      </c>
      <c r="H79" s="19" t="n">
        <f aca="false">COUNTIF('Material Properties'!$B$5:$B$200,A79)</f>
        <v>0</v>
      </c>
      <c r="I79" s="18" t="s">
        <v>20</v>
      </c>
      <c r="J79" s="18" t="s">
        <v>373</v>
      </c>
    </row>
    <row r="80" customFormat="false" ht="46.25" hidden="false" customHeight="false" outlineLevel="0" collapsed="false">
      <c r="A80" s="18" t="n">
        <v>76</v>
      </c>
      <c r="B80" s="18" t="s">
        <v>374</v>
      </c>
      <c r="C80" s="18" t="s">
        <v>375</v>
      </c>
      <c r="D80" s="18" t="s">
        <v>376</v>
      </c>
      <c r="E80" s="18" t="s">
        <v>377</v>
      </c>
      <c r="F80" s="18" t="s">
        <v>344</v>
      </c>
      <c r="G80" s="18" t="s">
        <v>345</v>
      </c>
      <c r="H80" s="19" t="n">
        <f aca="false">COUNTIF('Material Properties'!$B$5:$B$200,A80)</f>
        <v>1</v>
      </c>
      <c r="I80" s="18" t="s">
        <v>20</v>
      </c>
      <c r="J80" s="18" t="s">
        <v>378</v>
      </c>
    </row>
    <row r="81" customFormat="false" ht="35.05" hidden="false" customHeight="false" outlineLevel="0" collapsed="false">
      <c r="A81" s="18" t="n">
        <v>77</v>
      </c>
      <c r="B81" s="18" t="s">
        <v>379</v>
      </c>
      <c r="C81" s="18" t="s">
        <v>380</v>
      </c>
      <c r="D81" s="18" t="s">
        <v>381</v>
      </c>
      <c r="E81" s="18" t="s">
        <v>382</v>
      </c>
      <c r="F81" s="18" t="s">
        <v>383</v>
      </c>
      <c r="G81" s="18" t="s">
        <v>384</v>
      </c>
      <c r="H81" s="19" t="n">
        <f aca="false">COUNTIF('Material Properties'!$B$5:$B$200,A81)</f>
        <v>1</v>
      </c>
      <c r="I81" s="18" t="s">
        <v>20</v>
      </c>
      <c r="J81" s="18" t="s">
        <v>385</v>
      </c>
    </row>
    <row r="82" customFormat="false" ht="35.05" hidden="false" customHeight="false" outlineLevel="0" collapsed="false">
      <c r="A82" s="18" t="n">
        <v>78</v>
      </c>
      <c r="B82" s="18" t="s">
        <v>386</v>
      </c>
      <c r="C82" s="18" t="s">
        <v>387</v>
      </c>
      <c r="D82" s="18" t="s">
        <v>388</v>
      </c>
      <c r="E82" s="18" t="s">
        <v>389</v>
      </c>
      <c r="F82" s="18" t="s">
        <v>383</v>
      </c>
      <c r="G82" s="18" t="s">
        <v>384</v>
      </c>
      <c r="H82" s="19" t="n">
        <f aca="false">COUNTIF('Material Properties'!$B$5:$B$200,A82)</f>
        <v>1</v>
      </c>
      <c r="I82" s="18" t="s">
        <v>20</v>
      </c>
      <c r="J82" s="18"/>
    </row>
    <row r="83" customFormat="false" ht="35.05" hidden="false" customHeight="false" outlineLevel="0" collapsed="false">
      <c r="A83" s="18" t="n">
        <v>79</v>
      </c>
      <c r="B83" s="18" t="s">
        <v>390</v>
      </c>
      <c r="C83" s="18" t="s">
        <v>391</v>
      </c>
      <c r="D83" s="18" t="s">
        <v>392</v>
      </c>
      <c r="E83" s="18" t="s">
        <v>393</v>
      </c>
      <c r="F83" s="18" t="s">
        <v>394</v>
      </c>
      <c r="G83" s="18" t="s">
        <v>395</v>
      </c>
      <c r="H83" s="19" t="n">
        <f aca="false">COUNTIF('Material Properties'!$B$5:$B$200,A83)</f>
        <v>0</v>
      </c>
      <c r="I83" s="18" t="s">
        <v>20</v>
      </c>
      <c r="J83" s="18"/>
    </row>
    <row r="84" customFormat="false" ht="35.05" hidden="false" customHeight="false" outlineLevel="0" collapsed="false">
      <c r="A84" s="18" t="n">
        <v>80</v>
      </c>
      <c r="B84" s="18" t="s">
        <v>396</v>
      </c>
      <c r="C84" s="18" t="s">
        <v>397</v>
      </c>
      <c r="D84" s="18" t="s">
        <v>392</v>
      </c>
      <c r="E84" s="18" t="s">
        <v>393</v>
      </c>
      <c r="F84" s="18" t="s">
        <v>394</v>
      </c>
      <c r="G84" s="18" t="s">
        <v>395</v>
      </c>
      <c r="H84" s="19" t="n">
        <f aca="false">COUNTIF('Material Properties'!$B$5:$B$200,A84)</f>
        <v>1</v>
      </c>
      <c r="I84" s="18" t="s">
        <v>20</v>
      </c>
      <c r="J84" s="18"/>
    </row>
    <row r="85" customFormat="false" ht="23.85" hidden="false" customHeight="false" outlineLevel="0" collapsed="false">
      <c r="A85" s="18" t="n">
        <v>81</v>
      </c>
      <c r="B85" s="18" t="s">
        <v>398</v>
      </c>
      <c r="C85" s="18" t="s">
        <v>399</v>
      </c>
      <c r="D85" s="18" t="s">
        <v>400</v>
      </c>
      <c r="E85" s="18" t="s">
        <v>401</v>
      </c>
      <c r="F85" s="18" t="s">
        <v>402</v>
      </c>
      <c r="G85" s="18" t="s">
        <v>403</v>
      </c>
      <c r="H85" s="19" t="n">
        <f aca="false">COUNTIF('Material Properties'!$B$5:$B$200,A85)</f>
        <v>1</v>
      </c>
      <c r="I85" s="18" t="s">
        <v>20</v>
      </c>
      <c r="J85" s="18" t="s">
        <v>404</v>
      </c>
    </row>
    <row r="86" customFormat="false" ht="23.85" hidden="false" customHeight="false" outlineLevel="0" collapsed="false">
      <c r="A86" s="18" t="n">
        <v>82</v>
      </c>
      <c r="B86" s="18" t="s">
        <v>405</v>
      </c>
      <c r="C86" s="18" t="s">
        <v>406</v>
      </c>
      <c r="D86" s="18" t="s">
        <v>407</v>
      </c>
      <c r="E86" s="18" t="s">
        <v>408</v>
      </c>
      <c r="F86" s="18" t="s">
        <v>409</v>
      </c>
      <c r="G86" s="18" t="s">
        <v>410</v>
      </c>
      <c r="H86" s="19" t="n">
        <f aca="false">COUNTIF('Material Properties'!$B$5:$B$200,A86)</f>
        <v>0</v>
      </c>
      <c r="I86" s="18" t="s">
        <v>20</v>
      </c>
      <c r="J86" s="18" t="s">
        <v>411</v>
      </c>
    </row>
    <row r="87" customFormat="false" ht="23.85" hidden="false" customHeight="false" outlineLevel="0" collapsed="false">
      <c r="A87" s="18" t="n">
        <v>83</v>
      </c>
      <c r="B87" s="18" t="s">
        <v>412</v>
      </c>
      <c r="C87" s="18" t="s">
        <v>413</v>
      </c>
      <c r="D87" s="18" t="s">
        <v>414</v>
      </c>
      <c r="E87" s="18" t="s">
        <v>415</v>
      </c>
      <c r="F87" s="18" t="s">
        <v>416</v>
      </c>
      <c r="G87" s="18" t="s">
        <v>417</v>
      </c>
      <c r="H87" s="19" t="n">
        <f aca="false">COUNTIF('Material Properties'!$B$5:$B$200,A87)</f>
        <v>0</v>
      </c>
      <c r="I87" s="18" t="s">
        <v>20</v>
      </c>
      <c r="J87" s="18"/>
    </row>
    <row r="88" customFormat="false" ht="23.85" hidden="false" customHeight="false" outlineLevel="0" collapsed="false">
      <c r="A88" s="18" t="n">
        <v>84</v>
      </c>
      <c r="B88" s="18" t="s">
        <v>418</v>
      </c>
      <c r="C88" s="18" t="s">
        <v>419</v>
      </c>
      <c r="D88" s="18" t="s">
        <v>420</v>
      </c>
      <c r="E88" s="18" t="s">
        <v>421</v>
      </c>
      <c r="F88" s="18" t="s">
        <v>416</v>
      </c>
      <c r="G88" s="18" t="s">
        <v>417</v>
      </c>
      <c r="H88" s="19" t="n">
        <f aca="false">COUNTIF('Material Properties'!$B$5:$B$200,A88)</f>
        <v>1</v>
      </c>
      <c r="I88" s="18" t="s">
        <v>20</v>
      </c>
      <c r="J88" s="18" t="s">
        <v>422</v>
      </c>
    </row>
    <row r="89" customFormat="false" ht="23.85" hidden="false" customHeight="false" outlineLevel="0" collapsed="false">
      <c r="A89" s="18" t="n">
        <v>85</v>
      </c>
      <c r="B89" s="18" t="s">
        <v>423</v>
      </c>
      <c r="C89" s="18" t="s">
        <v>424</v>
      </c>
      <c r="D89" s="18" t="s">
        <v>425</v>
      </c>
      <c r="E89" s="18" t="s">
        <v>426</v>
      </c>
      <c r="F89" s="18" t="s">
        <v>427</v>
      </c>
      <c r="G89" s="18" t="s">
        <v>428</v>
      </c>
      <c r="H89" s="19" t="n">
        <f aca="false">COUNTIF('Material Properties'!$B$5:$B$200,A89)</f>
        <v>1</v>
      </c>
      <c r="I89" s="18" t="s">
        <v>20</v>
      </c>
      <c r="J89" s="18"/>
    </row>
    <row r="90" customFormat="false" ht="23.85" hidden="false" customHeight="false" outlineLevel="0" collapsed="false">
      <c r="A90" s="18" t="n">
        <v>86</v>
      </c>
      <c r="B90" s="18" t="s">
        <v>429</v>
      </c>
      <c r="C90" s="18" t="s">
        <v>430</v>
      </c>
      <c r="D90" s="18" t="s">
        <v>431</v>
      </c>
      <c r="E90" s="18" t="s">
        <v>432</v>
      </c>
      <c r="F90" s="18" t="s">
        <v>433</v>
      </c>
      <c r="G90" s="18" t="s">
        <v>434</v>
      </c>
      <c r="H90" s="19" t="n">
        <f aca="false">COUNTIF('Material Properties'!$B$5:$B$200,A90)</f>
        <v>0</v>
      </c>
      <c r="I90" s="18" t="s">
        <v>20</v>
      </c>
      <c r="J90" s="18"/>
    </row>
    <row r="91" customFormat="false" ht="23.85" hidden="false" customHeight="false" outlineLevel="0" collapsed="false">
      <c r="A91" s="18" t="n">
        <v>87</v>
      </c>
      <c r="B91" s="18" t="s">
        <v>435</v>
      </c>
      <c r="C91" s="18" t="s">
        <v>436</v>
      </c>
      <c r="D91" s="18" t="s">
        <v>437</v>
      </c>
      <c r="E91" s="18" t="s">
        <v>438</v>
      </c>
      <c r="F91" s="18" t="s">
        <v>439</v>
      </c>
      <c r="G91" s="18" t="s">
        <v>440</v>
      </c>
      <c r="H91" s="19" t="n">
        <f aca="false">COUNTIF('Material Properties'!$B$5:$B$200,A91)</f>
        <v>1</v>
      </c>
      <c r="I91" s="18" t="s">
        <v>20</v>
      </c>
      <c r="J91" s="18"/>
    </row>
    <row r="92" customFormat="false" ht="35.05" hidden="false" customHeight="false" outlineLevel="0" collapsed="false">
      <c r="A92" s="18" t="n">
        <v>88</v>
      </c>
      <c r="B92" s="18" t="s">
        <v>441</v>
      </c>
      <c r="C92" s="18" t="s">
        <v>442</v>
      </c>
      <c r="D92" s="18" t="s">
        <v>443</v>
      </c>
      <c r="E92" s="18" t="s">
        <v>444</v>
      </c>
      <c r="F92" s="18" t="s">
        <v>445</v>
      </c>
      <c r="G92" s="18" t="s">
        <v>446</v>
      </c>
      <c r="H92" s="19" t="n">
        <f aca="false">COUNTIF('Material Properties'!$B$5:$B$200,A92)</f>
        <v>1</v>
      </c>
      <c r="I92" s="18" t="s">
        <v>20</v>
      </c>
      <c r="J92" s="18" t="s">
        <v>447</v>
      </c>
    </row>
    <row r="93" customFormat="false" ht="35.05" hidden="false" customHeight="false" outlineLevel="0" collapsed="false">
      <c r="A93" s="18" t="n">
        <v>89</v>
      </c>
      <c r="B93" s="18" t="s">
        <v>448</v>
      </c>
      <c r="C93" s="18" t="s">
        <v>449</v>
      </c>
      <c r="D93" s="18" t="s">
        <v>450</v>
      </c>
      <c r="E93" s="18" t="s">
        <v>451</v>
      </c>
      <c r="F93" s="18" t="s">
        <v>452</v>
      </c>
      <c r="G93" s="18" t="s">
        <v>453</v>
      </c>
      <c r="H93" s="19" t="n">
        <f aca="false">COUNTIF('Material Properties'!$B$5:$B$200,A93)</f>
        <v>1</v>
      </c>
      <c r="I93" s="18" t="s">
        <v>20</v>
      </c>
      <c r="J93" s="18" t="s">
        <v>454</v>
      </c>
    </row>
    <row r="94" customFormat="false" ht="35.05" hidden="false" customHeight="false" outlineLevel="0" collapsed="false">
      <c r="A94" s="18" t="n">
        <v>90</v>
      </c>
      <c r="B94" s="18" t="s">
        <v>455</v>
      </c>
      <c r="C94" s="18" t="s">
        <v>456</v>
      </c>
      <c r="D94" s="18" t="s">
        <v>457</v>
      </c>
      <c r="E94" s="18" t="s">
        <v>458</v>
      </c>
      <c r="F94" s="18" t="s">
        <v>452</v>
      </c>
      <c r="G94" s="18" t="s">
        <v>453</v>
      </c>
      <c r="H94" s="19" t="n">
        <f aca="false">COUNTIF('Material Properties'!$B$5:$B$200,A94)</f>
        <v>1</v>
      </c>
      <c r="I94" s="18" t="s">
        <v>20</v>
      </c>
      <c r="J94" s="18" t="s">
        <v>459</v>
      </c>
    </row>
    <row r="95" customFormat="false" ht="35.05" hidden="false" customHeight="false" outlineLevel="0" collapsed="false">
      <c r="A95" s="18" t="n">
        <v>91</v>
      </c>
      <c r="B95" s="18" t="s">
        <v>460</v>
      </c>
      <c r="C95" s="18" t="s">
        <v>461</v>
      </c>
      <c r="D95" s="18" t="s">
        <v>462</v>
      </c>
      <c r="E95" s="18" t="s">
        <v>463</v>
      </c>
      <c r="F95" s="18" t="s">
        <v>464</v>
      </c>
      <c r="G95" s="18" t="s">
        <v>465</v>
      </c>
      <c r="H95" s="19" t="n">
        <f aca="false">COUNTIF('Material Properties'!$B$5:$B$200,A95)</f>
        <v>1</v>
      </c>
      <c r="I95" s="18" t="s">
        <v>20</v>
      </c>
      <c r="J95" s="18" t="s">
        <v>466</v>
      </c>
    </row>
    <row r="96" customFormat="false" ht="35.05" hidden="false" customHeight="false" outlineLevel="0" collapsed="false">
      <c r="A96" s="18" t="n">
        <v>92</v>
      </c>
      <c r="B96" s="18" t="s">
        <v>467</v>
      </c>
      <c r="C96" s="18" t="s">
        <v>468</v>
      </c>
      <c r="D96" s="18" t="s">
        <v>462</v>
      </c>
      <c r="E96" s="18" t="s">
        <v>469</v>
      </c>
      <c r="F96" s="18" t="s">
        <v>464</v>
      </c>
      <c r="G96" s="18" t="s">
        <v>465</v>
      </c>
      <c r="H96" s="19" t="n">
        <f aca="false">COUNTIF('Material Properties'!$B$5:$B$200,A96)</f>
        <v>1</v>
      </c>
      <c r="I96" s="18" t="s">
        <v>20</v>
      </c>
      <c r="J96" s="18" t="s">
        <v>470</v>
      </c>
    </row>
    <row r="97" customFormat="false" ht="35.05" hidden="false" customHeight="false" outlineLevel="0" collapsed="false">
      <c r="A97" s="18" t="n">
        <v>93</v>
      </c>
      <c r="B97" s="18" t="s">
        <v>471</v>
      </c>
      <c r="C97" s="18" t="s">
        <v>472</v>
      </c>
      <c r="D97" s="18" t="s">
        <v>473</v>
      </c>
      <c r="E97" s="18" t="s">
        <v>474</v>
      </c>
      <c r="F97" s="18" t="s">
        <v>475</v>
      </c>
      <c r="G97" s="18" t="s">
        <v>476</v>
      </c>
      <c r="H97" s="19" t="n">
        <f aca="false">COUNTIF('Material Properties'!$B$5:$B$200,A97)</f>
        <v>1</v>
      </c>
      <c r="I97" s="18" t="s">
        <v>20</v>
      </c>
      <c r="J97" s="18" t="s">
        <v>477</v>
      </c>
    </row>
    <row r="98" customFormat="false" ht="35.05" hidden="false" customHeight="false" outlineLevel="0" collapsed="false">
      <c r="A98" s="18" t="n">
        <v>94</v>
      </c>
      <c r="B98" s="18" t="s">
        <v>478</v>
      </c>
      <c r="C98" s="18" t="s">
        <v>479</v>
      </c>
      <c r="D98" s="18" t="s">
        <v>480</v>
      </c>
      <c r="E98" s="18" t="s">
        <v>481</v>
      </c>
      <c r="F98" s="18" t="s">
        <v>464</v>
      </c>
      <c r="G98" s="18" t="s">
        <v>465</v>
      </c>
      <c r="H98" s="19" t="n">
        <f aca="false">COUNTIF('Material Properties'!$B$5:$B$200,A98)</f>
        <v>1</v>
      </c>
      <c r="I98" s="18" t="s">
        <v>20</v>
      </c>
      <c r="J98" s="18"/>
    </row>
    <row r="99" customFormat="false" ht="35.05" hidden="false" customHeight="false" outlineLevel="0" collapsed="false">
      <c r="A99" s="18" t="n">
        <v>95</v>
      </c>
      <c r="B99" s="18" t="s">
        <v>482</v>
      </c>
      <c r="C99" s="18" t="s">
        <v>483</v>
      </c>
      <c r="D99" s="18" t="s">
        <v>462</v>
      </c>
      <c r="E99" s="18" t="s">
        <v>484</v>
      </c>
      <c r="F99" s="18" t="s">
        <v>464</v>
      </c>
      <c r="G99" s="18" t="s">
        <v>465</v>
      </c>
      <c r="H99" s="19" t="n">
        <f aca="false">COUNTIF('Material Properties'!$B$5:$B$200,A99)</f>
        <v>1</v>
      </c>
      <c r="I99" s="18" t="s">
        <v>20</v>
      </c>
      <c r="J99" s="18"/>
    </row>
    <row r="100" customFormat="false" ht="23.85" hidden="false" customHeight="false" outlineLevel="0" collapsed="false">
      <c r="A100" s="18" t="n">
        <v>96</v>
      </c>
      <c r="B100" s="18" t="s">
        <v>485</v>
      </c>
      <c r="C100" s="18" t="s">
        <v>486</v>
      </c>
      <c r="D100" s="18" t="s">
        <v>487</v>
      </c>
      <c r="E100" s="18" t="s">
        <v>488</v>
      </c>
      <c r="F100" s="18" t="s">
        <v>489</v>
      </c>
      <c r="G100" s="18" t="s">
        <v>490</v>
      </c>
      <c r="H100" s="19" t="n">
        <f aca="false">COUNTIF('Material Properties'!$B$5:$B$200,A100)</f>
        <v>1</v>
      </c>
      <c r="I100" s="18" t="s">
        <v>20</v>
      </c>
      <c r="J100" s="18"/>
    </row>
    <row r="101" customFormat="false" ht="23.85" hidden="false" customHeight="false" outlineLevel="0" collapsed="false">
      <c r="A101" s="18" t="n">
        <v>97</v>
      </c>
      <c r="B101" s="18" t="s">
        <v>491</v>
      </c>
      <c r="C101" s="18" t="s">
        <v>492</v>
      </c>
      <c r="D101" s="18" t="s">
        <v>487</v>
      </c>
      <c r="E101" s="18" t="s">
        <v>493</v>
      </c>
      <c r="F101" s="18" t="s">
        <v>489</v>
      </c>
      <c r="G101" s="18" t="s">
        <v>490</v>
      </c>
      <c r="H101" s="19" t="n">
        <f aca="false">COUNTIF('Material Properties'!$B$5:$B$200,A101)</f>
        <v>1</v>
      </c>
      <c r="I101" s="18" t="s">
        <v>20</v>
      </c>
      <c r="J101" s="18" t="s">
        <v>494</v>
      </c>
    </row>
    <row r="102" customFormat="false" ht="23.85" hidden="false" customHeight="false" outlineLevel="0" collapsed="false">
      <c r="A102" s="18" t="n">
        <v>98</v>
      </c>
      <c r="B102" s="18" t="s">
        <v>495</v>
      </c>
      <c r="C102" s="18" t="s">
        <v>496</v>
      </c>
      <c r="D102" s="18" t="s">
        <v>497</v>
      </c>
      <c r="E102" s="18" t="s">
        <v>498</v>
      </c>
      <c r="F102" s="18" t="s">
        <v>499</v>
      </c>
      <c r="G102" s="18" t="s">
        <v>500</v>
      </c>
      <c r="H102" s="19" t="n">
        <f aca="false">COUNTIF('Material Properties'!$B$5:$B$200,A102)</f>
        <v>1</v>
      </c>
      <c r="I102" s="18" t="s">
        <v>22</v>
      </c>
      <c r="J102" s="18" t="s">
        <v>501</v>
      </c>
    </row>
    <row r="103" customFormat="false" ht="23.85" hidden="false" customHeight="false" outlineLevel="0" collapsed="false">
      <c r="A103" s="18" t="n">
        <v>99</v>
      </c>
      <c r="B103" s="18" t="s">
        <v>502</v>
      </c>
      <c r="C103" s="18" t="s">
        <v>503</v>
      </c>
      <c r="D103" s="18" t="s">
        <v>497</v>
      </c>
      <c r="E103" s="18" t="s">
        <v>504</v>
      </c>
      <c r="F103" s="18" t="s">
        <v>499</v>
      </c>
      <c r="G103" s="18" t="s">
        <v>500</v>
      </c>
      <c r="H103" s="19" t="n">
        <f aca="false">COUNTIF('Material Properties'!$B$5:$B$200,A103)</f>
        <v>1</v>
      </c>
      <c r="I103" s="18" t="s">
        <v>22</v>
      </c>
      <c r="J103" s="18"/>
    </row>
    <row r="104" customFormat="false" ht="23.85" hidden="false" customHeight="false" outlineLevel="0" collapsed="false">
      <c r="A104" s="18" t="n">
        <v>100</v>
      </c>
      <c r="B104" s="18" t="s">
        <v>505</v>
      </c>
      <c r="C104" s="18" t="s">
        <v>506</v>
      </c>
      <c r="D104" s="18" t="s">
        <v>507</v>
      </c>
      <c r="E104" s="18" t="s">
        <v>508</v>
      </c>
      <c r="F104" s="18" t="s">
        <v>499</v>
      </c>
      <c r="G104" s="18" t="s">
        <v>500</v>
      </c>
      <c r="H104" s="19" t="n">
        <f aca="false">COUNTIF('Material Properties'!$B$5:$B$200,A104)</f>
        <v>1</v>
      </c>
      <c r="I104" s="18" t="s">
        <v>22</v>
      </c>
      <c r="J104" s="18"/>
    </row>
    <row r="105" customFormat="false" ht="23.85" hidden="false" customHeight="false" outlineLevel="0" collapsed="false">
      <c r="A105" s="18" t="n">
        <v>101</v>
      </c>
      <c r="B105" s="18" t="s">
        <v>509</v>
      </c>
      <c r="C105" s="18" t="s">
        <v>510</v>
      </c>
      <c r="D105" s="18" t="s">
        <v>511</v>
      </c>
      <c r="E105" s="18" t="s">
        <v>512</v>
      </c>
      <c r="F105" s="18" t="s">
        <v>499</v>
      </c>
      <c r="G105" s="18" t="s">
        <v>500</v>
      </c>
      <c r="H105" s="19" t="n">
        <f aca="false">COUNTIF('Material Properties'!$B$5:$B$200,A105)</f>
        <v>1</v>
      </c>
      <c r="I105" s="18" t="s">
        <v>22</v>
      </c>
      <c r="J105" s="18"/>
    </row>
    <row r="106" customFormat="false" ht="23.85" hidden="false" customHeight="false" outlineLevel="0" collapsed="false">
      <c r="A106" s="18" t="n">
        <v>102</v>
      </c>
      <c r="B106" s="18" t="s">
        <v>513</v>
      </c>
      <c r="C106" s="18" t="s">
        <v>513</v>
      </c>
      <c r="D106" s="18" t="s">
        <v>514</v>
      </c>
      <c r="E106" s="18" t="s">
        <v>515</v>
      </c>
      <c r="F106" s="18" t="s">
        <v>499</v>
      </c>
      <c r="G106" s="18" t="s">
        <v>500</v>
      </c>
      <c r="H106" s="19" t="n">
        <f aca="false">COUNTIF('Material Properties'!$B$5:$B$200,A106)</f>
        <v>1</v>
      </c>
      <c r="I106" s="18" t="s">
        <v>22</v>
      </c>
      <c r="J106" s="18" t="s">
        <v>516</v>
      </c>
    </row>
    <row r="107" customFormat="false" ht="23.85" hidden="false" customHeight="false" outlineLevel="0" collapsed="false">
      <c r="A107" s="18" t="n">
        <v>103</v>
      </c>
      <c r="B107" s="18" t="s">
        <v>517</v>
      </c>
      <c r="C107" s="18" t="s">
        <v>518</v>
      </c>
      <c r="D107" s="18" t="s">
        <v>519</v>
      </c>
      <c r="E107" s="18" t="s">
        <v>520</v>
      </c>
      <c r="F107" s="18" t="s">
        <v>499</v>
      </c>
      <c r="G107" s="18" t="s">
        <v>500</v>
      </c>
      <c r="H107" s="19" t="n">
        <f aca="false">COUNTIF('Material Properties'!$B$5:$B$200,A107)</f>
        <v>1</v>
      </c>
      <c r="I107" s="18" t="s">
        <v>22</v>
      </c>
      <c r="J107" s="18"/>
    </row>
    <row r="108" customFormat="false" ht="23.85" hidden="false" customHeight="false" outlineLevel="0" collapsed="false">
      <c r="A108" s="18" t="n">
        <v>104</v>
      </c>
      <c r="B108" s="18" t="s">
        <v>521</v>
      </c>
      <c r="C108" s="18" t="s">
        <v>521</v>
      </c>
      <c r="D108" s="18" t="s">
        <v>497</v>
      </c>
      <c r="E108" s="18" t="s">
        <v>522</v>
      </c>
      <c r="F108" s="18" t="s">
        <v>523</v>
      </c>
      <c r="G108" s="18" t="s">
        <v>524</v>
      </c>
      <c r="H108" s="19" t="n">
        <f aca="false">COUNTIF('Material Properties'!$B$5:$B$200,A108)</f>
        <v>1</v>
      </c>
      <c r="I108" s="18" t="s">
        <v>22</v>
      </c>
      <c r="J108" s="18"/>
    </row>
    <row r="109" customFormat="false" ht="23.85" hidden="false" customHeight="false" outlineLevel="0" collapsed="false">
      <c r="A109" s="18" t="n">
        <v>105</v>
      </c>
      <c r="B109" s="18" t="s">
        <v>525</v>
      </c>
      <c r="C109" s="18" t="s">
        <v>525</v>
      </c>
      <c r="D109" s="18" t="s">
        <v>497</v>
      </c>
      <c r="E109" s="18" t="s">
        <v>526</v>
      </c>
      <c r="F109" s="18" t="s">
        <v>523</v>
      </c>
      <c r="G109" s="18" t="s">
        <v>524</v>
      </c>
      <c r="H109" s="19" t="n">
        <f aca="false">COUNTIF('Material Properties'!$B$5:$B$200,A109)</f>
        <v>1</v>
      </c>
      <c r="I109" s="18" t="s">
        <v>22</v>
      </c>
      <c r="J109" s="18"/>
    </row>
    <row r="110" customFormat="false" ht="23.85" hidden="false" customHeight="false" outlineLevel="0" collapsed="false">
      <c r="A110" s="18" t="n">
        <v>106</v>
      </c>
      <c r="B110" s="18" t="s">
        <v>527</v>
      </c>
      <c r="C110" s="18" t="s">
        <v>527</v>
      </c>
      <c r="D110" s="18" t="s">
        <v>497</v>
      </c>
      <c r="E110" s="18" t="s">
        <v>528</v>
      </c>
      <c r="F110" s="18" t="s">
        <v>499</v>
      </c>
      <c r="G110" s="18" t="s">
        <v>500</v>
      </c>
      <c r="H110" s="19" t="n">
        <f aca="false">COUNTIF('Material Properties'!$B$5:$B$200,A110)</f>
        <v>1</v>
      </c>
      <c r="I110" s="18" t="s">
        <v>22</v>
      </c>
      <c r="J110" s="18"/>
    </row>
    <row r="111" customFormat="false" ht="23.85" hidden="false" customHeight="false" outlineLevel="0" collapsed="false">
      <c r="A111" s="18" t="n">
        <v>107</v>
      </c>
      <c r="B111" s="18" t="s">
        <v>529</v>
      </c>
      <c r="C111" s="18" t="s">
        <v>529</v>
      </c>
      <c r="D111" s="18" t="s">
        <v>530</v>
      </c>
      <c r="E111" s="18" t="s">
        <v>531</v>
      </c>
      <c r="F111" s="18" t="s">
        <v>499</v>
      </c>
      <c r="G111" s="18" t="s">
        <v>500</v>
      </c>
      <c r="H111" s="19" t="n">
        <f aca="false">COUNTIF('Material Properties'!$B$5:$B$200,A111)</f>
        <v>0</v>
      </c>
      <c r="I111" s="18" t="s">
        <v>22</v>
      </c>
      <c r="J111" s="18"/>
    </row>
    <row r="112" customFormat="false" ht="23.85" hidden="false" customHeight="false" outlineLevel="0" collapsed="false">
      <c r="A112" s="18" t="n">
        <v>108</v>
      </c>
      <c r="B112" s="18" t="s">
        <v>532</v>
      </c>
      <c r="C112" s="18" t="s">
        <v>532</v>
      </c>
      <c r="D112" s="18" t="s">
        <v>530</v>
      </c>
      <c r="E112" s="18" t="s">
        <v>533</v>
      </c>
      <c r="F112" s="18" t="s">
        <v>523</v>
      </c>
      <c r="G112" s="18" t="s">
        <v>524</v>
      </c>
      <c r="H112" s="19" t="n">
        <f aca="false">COUNTIF('Material Properties'!$B$5:$B$200,A112)</f>
        <v>0</v>
      </c>
      <c r="I112" s="18" t="s">
        <v>22</v>
      </c>
      <c r="J112" s="18"/>
    </row>
    <row r="113" customFormat="false" ht="23.85" hidden="false" customHeight="false" outlineLevel="0" collapsed="false">
      <c r="A113" s="18" t="n">
        <v>109</v>
      </c>
      <c r="B113" s="18" t="s">
        <v>534</v>
      </c>
      <c r="C113" s="18" t="s">
        <v>535</v>
      </c>
      <c r="D113" s="18" t="s">
        <v>536</v>
      </c>
      <c r="E113" s="18" t="s">
        <v>520</v>
      </c>
      <c r="F113" s="18" t="s">
        <v>537</v>
      </c>
      <c r="G113" s="18" t="s">
        <v>538</v>
      </c>
      <c r="H113" s="19" t="n">
        <f aca="false">COUNTIF('Material Properties'!$B$5:$B$200,A113)</f>
        <v>0</v>
      </c>
      <c r="I113" s="18" t="s">
        <v>22</v>
      </c>
      <c r="J113" s="18" t="s">
        <v>539</v>
      </c>
    </row>
    <row r="114" customFormat="false" ht="23.85" hidden="false" customHeight="false" outlineLevel="0" collapsed="false">
      <c r="A114" s="18" t="n">
        <v>110</v>
      </c>
      <c r="B114" s="18" t="s">
        <v>540</v>
      </c>
      <c r="C114" s="18" t="s">
        <v>540</v>
      </c>
      <c r="D114" s="18" t="s">
        <v>519</v>
      </c>
      <c r="E114" s="18" t="s">
        <v>520</v>
      </c>
      <c r="F114" s="18" t="s">
        <v>499</v>
      </c>
      <c r="G114" s="18" t="s">
        <v>500</v>
      </c>
      <c r="H114" s="19" t="n">
        <f aca="false">COUNTIF('Material Properties'!$B$5:$B$200,A114)</f>
        <v>0</v>
      </c>
      <c r="I114" s="18" t="s">
        <v>22</v>
      </c>
      <c r="J114" s="18"/>
    </row>
    <row r="115" customFormat="false" ht="23.85" hidden="false" customHeight="false" outlineLevel="0" collapsed="false">
      <c r="A115" s="18" t="n">
        <v>111</v>
      </c>
      <c r="B115" s="18" t="s">
        <v>541</v>
      </c>
      <c r="C115" s="18" t="s">
        <v>542</v>
      </c>
      <c r="D115" s="18" t="s">
        <v>497</v>
      </c>
      <c r="E115" s="18" t="s">
        <v>520</v>
      </c>
      <c r="F115" s="18" t="s">
        <v>499</v>
      </c>
      <c r="G115" s="18" t="s">
        <v>500</v>
      </c>
      <c r="H115" s="19" t="n">
        <f aca="false">COUNTIF('Material Properties'!$B$5:$B$200,A115)</f>
        <v>0</v>
      </c>
      <c r="I115" s="18" t="s">
        <v>22</v>
      </c>
      <c r="J115" s="18" t="s">
        <v>543</v>
      </c>
    </row>
    <row r="116" customFormat="false" ht="23.85" hidden="false" customHeight="false" outlineLevel="0" collapsed="false">
      <c r="A116" s="18" t="n">
        <v>112</v>
      </c>
      <c r="B116" s="18" t="s">
        <v>544</v>
      </c>
      <c r="C116" s="18" t="s">
        <v>545</v>
      </c>
      <c r="D116" s="18" t="s">
        <v>546</v>
      </c>
      <c r="E116" s="18" t="s">
        <v>547</v>
      </c>
      <c r="F116" s="18" t="s">
        <v>548</v>
      </c>
      <c r="G116" s="18" t="s">
        <v>549</v>
      </c>
      <c r="H116" s="19" t="n">
        <f aca="false">COUNTIF('Material Properties'!$B$5:$B$200,A116)</f>
        <v>1</v>
      </c>
      <c r="I116" s="18" t="s">
        <v>22</v>
      </c>
      <c r="J116" s="18" t="s">
        <v>550</v>
      </c>
    </row>
    <row r="117" customFormat="false" ht="23.85" hidden="false" customHeight="false" outlineLevel="0" collapsed="false">
      <c r="A117" s="18" t="n">
        <v>113</v>
      </c>
      <c r="B117" s="18" t="s">
        <v>551</v>
      </c>
      <c r="C117" s="18" t="s">
        <v>552</v>
      </c>
      <c r="D117" s="18" t="s">
        <v>546</v>
      </c>
      <c r="E117" s="18" t="s">
        <v>547</v>
      </c>
      <c r="F117" s="18" t="s">
        <v>553</v>
      </c>
      <c r="G117" s="18" t="s">
        <v>554</v>
      </c>
      <c r="H117" s="19" t="n">
        <f aca="false">COUNTIF('Material Properties'!$B$5:$B$200,A117)</f>
        <v>1</v>
      </c>
      <c r="I117" s="18" t="s">
        <v>22</v>
      </c>
      <c r="J117" s="18" t="s">
        <v>550</v>
      </c>
    </row>
    <row r="118" customFormat="false" ht="23.85" hidden="false" customHeight="false" outlineLevel="0" collapsed="false">
      <c r="A118" s="18" t="n">
        <v>114</v>
      </c>
      <c r="B118" s="18" t="s">
        <v>555</v>
      </c>
      <c r="C118" s="18" t="s">
        <v>556</v>
      </c>
      <c r="D118" s="18" t="s">
        <v>546</v>
      </c>
      <c r="E118" s="18" t="s">
        <v>557</v>
      </c>
      <c r="F118" s="18" t="s">
        <v>558</v>
      </c>
      <c r="G118" s="18" t="s">
        <v>559</v>
      </c>
      <c r="H118" s="19" t="n">
        <f aca="false">COUNTIF('Material Properties'!$B$5:$B$200,A118)</f>
        <v>1</v>
      </c>
      <c r="I118" s="18" t="s">
        <v>22</v>
      </c>
      <c r="J118" s="18" t="s">
        <v>550</v>
      </c>
    </row>
    <row r="119" customFormat="false" ht="35.05" hidden="false" customHeight="false" outlineLevel="0" collapsed="false">
      <c r="A119" s="18" t="n">
        <v>115</v>
      </c>
      <c r="B119" s="18" t="s">
        <v>560</v>
      </c>
      <c r="C119" s="18" t="s">
        <v>561</v>
      </c>
      <c r="D119" s="18" t="s">
        <v>546</v>
      </c>
      <c r="E119" s="18" t="s">
        <v>547</v>
      </c>
      <c r="F119" s="18" t="s">
        <v>562</v>
      </c>
      <c r="G119" s="18" t="s">
        <v>563</v>
      </c>
      <c r="H119" s="19" t="n">
        <f aca="false">COUNTIF('Material Properties'!$B$5:$B$200,A119)</f>
        <v>1</v>
      </c>
      <c r="I119" s="18" t="s">
        <v>22</v>
      </c>
      <c r="J119" s="18" t="s">
        <v>550</v>
      </c>
    </row>
    <row r="120" customFormat="false" ht="23.85" hidden="false" customHeight="false" outlineLevel="0" collapsed="false">
      <c r="A120" s="18" t="n">
        <v>116</v>
      </c>
      <c r="B120" s="18" t="s">
        <v>564</v>
      </c>
      <c r="C120" s="18" t="s">
        <v>565</v>
      </c>
      <c r="D120" s="18" t="s">
        <v>566</v>
      </c>
      <c r="E120" s="18" t="s">
        <v>567</v>
      </c>
      <c r="F120" s="18" t="s">
        <v>568</v>
      </c>
      <c r="G120" s="18" t="s">
        <v>569</v>
      </c>
      <c r="H120" s="19" t="n">
        <f aca="false">COUNTIF('Material Properties'!$B$5:$B$200,A120)</f>
        <v>1</v>
      </c>
      <c r="I120" s="18" t="s">
        <v>22</v>
      </c>
      <c r="J120" s="18"/>
    </row>
    <row r="121" customFormat="false" ht="23.85" hidden="false" customHeight="false" outlineLevel="0" collapsed="false">
      <c r="A121" s="18" t="n">
        <v>117</v>
      </c>
      <c r="B121" s="18" t="s">
        <v>570</v>
      </c>
      <c r="C121" s="18" t="s">
        <v>571</v>
      </c>
      <c r="D121" s="18" t="s">
        <v>572</v>
      </c>
      <c r="E121" s="18" t="s">
        <v>573</v>
      </c>
      <c r="F121" s="18" t="s">
        <v>574</v>
      </c>
      <c r="G121" s="18" t="s">
        <v>575</v>
      </c>
      <c r="H121" s="19" t="n">
        <f aca="false">COUNTIF('Material Properties'!$B$5:$B$200,A121)</f>
        <v>0</v>
      </c>
      <c r="I121" s="18" t="s">
        <v>22</v>
      </c>
      <c r="J121" s="18" t="s">
        <v>576</v>
      </c>
    </row>
    <row r="122" customFormat="false" ht="23.85" hidden="false" customHeight="false" outlineLevel="0" collapsed="false">
      <c r="A122" s="18" t="n">
        <v>118</v>
      </c>
      <c r="B122" s="18" t="s">
        <v>577</v>
      </c>
      <c r="C122" s="18" t="s">
        <v>578</v>
      </c>
      <c r="D122" s="18" t="s">
        <v>572</v>
      </c>
      <c r="E122" s="18" t="s">
        <v>579</v>
      </c>
      <c r="F122" s="18" t="s">
        <v>580</v>
      </c>
      <c r="G122" s="18" t="s">
        <v>581</v>
      </c>
      <c r="H122" s="19" t="n">
        <f aca="false">COUNTIF('Material Properties'!$B$5:$B$200,A122)</f>
        <v>0</v>
      </c>
      <c r="I122" s="18" t="s">
        <v>22</v>
      </c>
      <c r="J122" s="18" t="s">
        <v>576</v>
      </c>
    </row>
    <row r="123" customFormat="false" ht="35.05" hidden="false" customHeight="false" outlineLevel="0" collapsed="false">
      <c r="A123" s="18" t="n">
        <v>119</v>
      </c>
      <c r="B123" s="18" t="s">
        <v>582</v>
      </c>
      <c r="C123" s="18" t="s">
        <v>583</v>
      </c>
      <c r="D123" s="18" t="s">
        <v>584</v>
      </c>
      <c r="E123" s="18" t="s">
        <v>585</v>
      </c>
      <c r="F123" s="18" t="s">
        <v>586</v>
      </c>
      <c r="G123" s="18" t="s">
        <v>587</v>
      </c>
      <c r="H123" s="19" t="n">
        <f aca="false">COUNTIF('Material Properties'!$B$5:$B$200,A123)</f>
        <v>1</v>
      </c>
      <c r="I123" s="18" t="s">
        <v>22</v>
      </c>
      <c r="J123" s="18" t="s">
        <v>588</v>
      </c>
    </row>
    <row r="124" customFormat="false" ht="35.05" hidden="false" customHeight="false" outlineLevel="0" collapsed="false">
      <c r="A124" s="18" t="n">
        <v>120</v>
      </c>
      <c r="B124" s="18" t="s">
        <v>589</v>
      </c>
      <c r="C124" s="18" t="s">
        <v>590</v>
      </c>
      <c r="D124" s="18" t="s">
        <v>584</v>
      </c>
      <c r="E124" s="18" t="s">
        <v>591</v>
      </c>
      <c r="F124" s="18" t="s">
        <v>586</v>
      </c>
      <c r="G124" s="18" t="s">
        <v>587</v>
      </c>
      <c r="H124" s="19" t="n">
        <f aca="false">COUNTIF('Material Properties'!$B$5:$B$200,A124)</f>
        <v>1</v>
      </c>
      <c r="I124" s="18" t="s">
        <v>22</v>
      </c>
      <c r="J124" s="18" t="s">
        <v>592</v>
      </c>
    </row>
    <row r="125" customFormat="false" ht="35.05" hidden="false" customHeight="false" outlineLevel="0" collapsed="false">
      <c r="A125" s="18" t="n">
        <v>121</v>
      </c>
      <c r="B125" s="18" t="s">
        <v>593</v>
      </c>
      <c r="C125" s="18" t="s">
        <v>594</v>
      </c>
      <c r="D125" s="18" t="s">
        <v>584</v>
      </c>
      <c r="E125" s="18" t="s">
        <v>595</v>
      </c>
      <c r="F125" s="18" t="s">
        <v>586</v>
      </c>
      <c r="G125" s="18" t="s">
        <v>587</v>
      </c>
      <c r="H125" s="19" t="n">
        <f aca="false">COUNTIF('Material Properties'!$B$5:$B$200,A125)</f>
        <v>0</v>
      </c>
      <c r="I125" s="18" t="s">
        <v>22</v>
      </c>
      <c r="J125" s="18" t="s">
        <v>592</v>
      </c>
    </row>
    <row r="126" customFormat="false" ht="35.05" hidden="false" customHeight="false" outlineLevel="0" collapsed="false">
      <c r="A126" s="18" t="n">
        <v>122</v>
      </c>
      <c r="B126" s="18" t="s">
        <v>596</v>
      </c>
      <c r="C126" s="18" t="s">
        <v>597</v>
      </c>
      <c r="D126" s="18" t="s">
        <v>598</v>
      </c>
      <c r="E126" s="18" t="s">
        <v>599</v>
      </c>
      <c r="F126" s="18" t="s">
        <v>600</v>
      </c>
      <c r="G126" s="18" t="s">
        <v>601</v>
      </c>
      <c r="H126" s="19" t="n">
        <f aca="false">COUNTIF('Material Properties'!$B$5:$B$200,A126)</f>
        <v>0</v>
      </c>
      <c r="I126" s="18" t="s">
        <v>20</v>
      </c>
      <c r="J126" s="18" t="s">
        <v>602</v>
      </c>
    </row>
    <row r="127" customFormat="false" ht="23.85" hidden="false" customHeight="false" outlineLevel="0" collapsed="false">
      <c r="A127" s="18" t="n">
        <v>123</v>
      </c>
      <c r="B127" s="18" t="s">
        <v>603</v>
      </c>
      <c r="C127" s="18" t="s">
        <v>604</v>
      </c>
      <c r="D127" s="18" t="s">
        <v>605</v>
      </c>
      <c r="E127" s="18" t="s">
        <v>606</v>
      </c>
      <c r="F127" s="18" t="s">
        <v>607</v>
      </c>
      <c r="G127" s="18" t="s">
        <v>608</v>
      </c>
      <c r="H127" s="19" t="n">
        <f aca="false">COUNTIF('Material Properties'!$B$5:$B$200,A127)</f>
        <v>0</v>
      </c>
      <c r="I127" s="18" t="s">
        <v>20</v>
      </c>
      <c r="J127" s="18" t="s">
        <v>609</v>
      </c>
    </row>
    <row r="128" customFormat="false" ht="35.05" hidden="false" customHeight="false" outlineLevel="0" collapsed="false">
      <c r="A128" s="18" t="n">
        <v>124</v>
      </c>
      <c r="B128" s="18" t="s">
        <v>610</v>
      </c>
      <c r="C128" s="18" t="s">
        <v>611</v>
      </c>
      <c r="D128" s="18" t="s">
        <v>612</v>
      </c>
      <c r="E128" s="18" t="s">
        <v>613</v>
      </c>
      <c r="F128" s="18" t="s">
        <v>614</v>
      </c>
      <c r="G128" s="18" t="s">
        <v>615</v>
      </c>
      <c r="H128" s="19" t="n">
        <f aca="false">COUNTIF('Material Properties'!$B$5:$B$200,A128)</f>
        <v>0</v>
      </c>
      <c r="I128" s="18" t="s">
        <v>22</v>
      </c>
      <c r="J128" s="18" t="s">
        <v>616</v>
      </c>
    </row>
    <row r="129" customFormat="false" ht="35.05" hidden="false" customHeight="false" outlineLevel="0" collapsed="false">
      <c r="A129" s="18" t="n">
        <v>125</v>
      </c>
      <c r="B129" s="18" t="s">
        <v>617</v>
      </c>
      <c r="C129" s="18" t="s">
        <v>618</v>
      </c>
      <c r="D129" s="18" t="s">
        <v>619</v>
      </c>
      <c r="E129" s="18" t="s">
        <v>620</v>
      </c>
      <c r="F129" s="18" t="s">
        <v>621</v>
      </c>
      <c r="G129" s="18" t="s">
        <v>622</v>
      </c>
      <c r="H129" s="19" t="n">
        <f aca="false">COUNTIF('Material Properties'!$B$5:$B$200,A129)</f>
        <v>1</v>
      </c>
      <c r="I129" s="18" t="s">
        <v>20</v>
      </c>
      <c r="J129" s="18"/>
    </row>
    <row r="130" customFormat="false" ht="23.85" hidden="false" customHeight="false" outlineLevel="0" collapsed="false">
      <c r="A130" s="18" t="n">
        <v>126</v>
      </c>
      <c r="B130" s="18" t="s">
        <v>623</v>
      </c>
      <c r="C130" s="18" t="s">
        <v>624</v>
      </c>
      <c r="D130" s="18" t="s">
        <v>625</v>
      </c>
      <c r="E130" s="18" t="s">
        <v>626</v>
      </c>
      <c r="F130" s="18" t="s">
        <v>627</v>
      </c>
      <c r="G130" s="18" t="s">
        <v>628</v>
      </c>
      <c r="H130" s="19" t="n">
        <f aca="false">COUNTIF('Material Properties'!$B$5:$B$200,A130)</f>
        <v>1</v>
      </c>
      <c r="I130" s="18" t="s">
        <v>20</v>
      </c>
      <c r="J130" s="18"/>
    </row>
    <row r="131" customFormat="false" ht="23.85" hidden="false" customHeight="false" outlineLevel="0" collapsed="false">
      <c r="A131" s="18" t="n">
        <v>127</v>
      </c>
      <c r="B131" s="18" t="s">
        <v>629</v>
      </c>
      <c r="C131" s="18" t="s">
        <v>630</v>
      </c>
      <c r="D131" s="18" t="s">
        <v>631</v>
      </c>
      <c r="E131" s="18" t="s">
        <v>632</v>
      </c>
      <c r="F131" s="18" t="s">
        <v>633</v>
      </c>
      <c r="G131" s="18" t="s">
        <v>634</v>
      </c>
      <c r="H131" s="19" t="n">
        <f aca="false">COUNTIF('Material Properties'!$B$5:$B$200,A131)</f>
        <v>1</v>
      </c>
      <c r="I131" s="18" t="s">
        <v>20</v>
      </c>
      <c r="J131" s="18"/>
    </row>
    <row r="132" customFormat="false" ht="23.85" hidden="false" customHeight="false" outlineLevel="0" collapsed="false">
      <c r="A132" s="18" t="n">
        <v>128</v>
      </c>
      <c r="B132" s="18" t="s">
        <v>635</v>
      </c>
      <c r="C132" s="18" t="s">
        <v>636</v>
      </c>
      <c r="D132" s="18" t="s">
        <v>631</v>
      </c>
      <c r="E132" s="18" t="s">
        <v>637</v>
      </c>
      <c r="F132" s="18" t="s">
        <v>633</v>
      </c>
      <c r="G132" s="18" t="s">
        <v>634</v>
      </c>
      <c r="H132" s="19" t="n">
        <f aca="false">COUNTIF('Material Properties'!$B$5:$B$200,A132)</f>
        <v>1</v>
      </c>
      <c r="I132" s="18" t="s">
        <v>20</v>
      </c>
      <c r="J132" s="18"/>
    </row>
    <row r="133" customFormat="false" ht="23.85" hidden="false" customHeight="false" outlineLevel="0" collapsed="false">
      <c r="A133" s="18" t="n">
        <v>129</v>
      </c>
      <c r="B133" s="18" t="s">
        <v>638</v>
      </c>
      <c r="C133" s="18" t="s">
        <v>639</v>
      </c>
      <c r="D133" s="18" t="s">
        <v>640</v>
      </c>
      <c r="E133" s="18" t="s">
        <v>520</v>
      </c>
      <c r="F133" s="18" t="s">
        <v>641</v>
      </c>
      <c r="G133" s="18" t="s">
        <v>642</v>
      </c>
      <c r="H133" s="19" t="n">
        <f aca="false">COUNTIF('Material Properties'!$B$5:$B$200,A133)</f>
        <v>0</v>
      </c>
      <c r="I133" s="18" t="s">
        <v>22</v>
      </c>
      <c r="J133" s="18" t="s">
        <v>643</v>
      </c>
    </row>
    <row r="134" customFormat="false" ht="35.05" hidden="false" customHeight="false" outlineLevel="0" collapsed="false">
      <c r="A134" s="18" t="n">
        <v>130</v>
      </c>
      <c r="B134" s="18" t="s">
        <v>644</v>
      </c>
      <c r="C134" s="18" t="s">
        <v>645</v>
      </c>
      <c r="D134" s="18" t="s">
        <v>646</v>
      </c>
      <c r="E134" s="18" t="s">
        <v>647</v>
      </c>
      <c r="F134" s="18" t="s">
        <v>648</v>
      </c>
      <c r="G134" s="18" t="s">
        <v>649</v>
      </c>
      <c r="H134" s="19" t="n">
        <f aca="false">COUNTIF('Material Properties'!$B$5:$B$200,A134)</f>
        <v>1</v>
      </c>
      <c r="I134" s="18" t="s">
        <v>20</v>
      </c>
      <c r="J134" s="18" t="s">
        <v>650</v>
      </c>
    </row>
    <row r="135" customFormat="false" ht="23.85" hidden="false" customHeight="false" outlineLevel="0" collapsed="false">
      <c r="A135" s="18" t="n">
        <v>131</v>
      </c>
      <c r="B135" s="18" t="s">
        <v>651</v>
      </c>
      <c r="C135" s="18" t="s">
        <v>652</v>
      </c>
      <c r="D135" s="18" t="s">
        <v>653</v>
      </c>
      <c r="E135" s="18" t="s">
        <v>654</v>
      </c>
      <c r="F135" s="18" t="s">
        <v>655</v>
      </c>
      <c r="G135" s="18" t="s">
        <v>656</v>
      </c>
      <c r="H135" s="19" t="n">
        <f aca="false">COUNTIF('Material Properties'!$B$5:$B$200,A135)</f>
        <v>1</v>
      </c>
      <c r="I135" s="18" t="s">
        <v>20</v>
      </c>
      <c r="J135" s="18" t="s">
        <v>657</v>
      </c>
    </row>
    <row r="136" customFormat="false" ht="23.85" hidden="false" customHeight="false" outlineLevel="0" collapsed="false">
      <c r="A136" s="18" t="n">
        <v>132</v>
      </c>
      <c r="B136" s="18" t="s">
        <v>658</v>
      </c>
      <c r="C136" s="18" t="s">
        <v>659</v>
      </c>
      <c r="D136" s="18" t="s">
        <v>653</v>
      </c>
      <c r="E136" s="18" t="s">
        <v>660</v>
      </c>
      <c r="F136" s="18" t="s">
        <v>655</v>
      </c>
      <c r="G136" s="18" t="s">
        <v>656</v>
      </c>
      <c r="H136" s="19" t="n">
        <f aca="false">COUNTIF('Material Properties'!$B$5:$B$200,A136)</f>
        <v>1</v>
      </c>
      <c r="I136" s="18" t="s">
        <v>20</v>
      </c>
      <c r="J136" s="18" t="s">
        <v>661</v>
      </c>
    </row>
    <row r="138" customFormat="false" ht="15" hidden="false" customHeight="false" outlineLevel="0" collapsed="false">
      <c r="A138" s="20" t="s">
        <v>662</v>
      </c>
      <c r="B138" s="21"/>
      <c r="C138" s="21"/>
      <c r="D138" s="21"/>
      <c r="E138" s="21"/>
      <c r="F138" s="21"/>
      <c r="G138" s="21"/>
      <c r="H138" s="21"/>
      <c r="I138" s="21"/>
      <c r="J138" s="21"/>
    </row>
    <row r="139" customFormat="false" ht="35.05" hidden="false" customHeight="false" outlineLevel="0" collapsed="false">
      <c r="A139" s="18" t="s">
        <v>663</v>
      </c>
      <c r="B139" s="18" t="s">
        <v>664</v>
      </c>
      <c r="C139" s="18" t="s">
        <v>665</v>
      </c>
      <c r="D139" s="18" t="s">
        <v>666</v>
      </c>
      <c r="E139" s="18" t="s">
        <v>667</v>
      </c>
      <c r="F139" s="18" t="s">
        <v>193</v>
      </c>
      <c r="G139" s="18" t="s">
        <v>194</v>
      </c>
      <c r="H139" s="18"/>
      <c r="I139" s="18" t="s">
        <v>668</v>
      </c>
      <c r="J139" s="18" t="s">
        <v>669</v>
      </c>
    </row>
    <row r="140" customFormat="false" ht="35.05" hidden="false" customHeight="false" outlineLevel="0" collapsed="false">
      <c r="A140" s="18" t="s">
        <v>670</v>
      </c>
      <c r="B140" s="18" t="s">
        <v>671</v>
      </c>
      <c r="C140" s="18" t="s">
        <v>672</v>
      </c>
      <c r="D140" s="18" t="s">
        <v>673</v>
      </c>
      <c r="E140" s="18" t="s">
        <v>667</v>
      </c>
      <c r="F140" s="18" t="s">
        <v>244</v>
      </c>
      <c r="G140" s="18" t="s">
        <v>245</v>
      </c>
      <c r="H140" s="18"/>
      <c r="I140" s="18" t="s">
        <v>668</v>
      </c>
      <c r="J140" s="18" t="s">
        <v>674</v>
      </c>
    </row>
    <row r="141" customFormat="false" ht="23.85" hidden="false" customHeight="false" outlineLevel="0" collapsed="false">
      <c r="A141" s="18" t="s">
        <v>675</v>
      </c>
      <c r="B141" s="18" t="s">
        <v>676</v>
      </c>
      <c r="C141" s="18" t="s">
        <v>677</v>
      </c>
      <c r="D141" s="18" t="s">
        <v>678</v>
      </c>
      <c r="E141" s="18" t="s">
        <v>679</v>
      </c>
      <c r="F141" s="18" t="s">
        <v>251</v>
      </c>
      <c r="G141" s="18" t="s">
        <v>252</v>
      </c>
      <c r="H141" s="18"/>
      <c r="I141" s="18" t="s">
        <v>668</v>
      </c>
      <c r="J141" s="18" t="s">
        <v>680</v>
      </c>
    </row>
    <row r="142" customFormat="false" ht="35.05" hidden="false" customHeight="false" outlineLevel="0" collapsed="false">
      <c r="A142" s="18" t="s">
        <v>681</v>
      </c>
      <c r="B142" s="18" t="s">
        <v>682</v>
      </c>
      <c r="C142" s="18" t="s">
        <v>683</v>
      </c>
      <c r="D142" s="18" t="s">
        <v>684</v>
      </c>
      <c r="E142" s="18" t="s">
        <v>685</v>
      </c>
      <c r="F142" s="18" t="s">
        <v>131</v>
      </c>
      <c r="G142" s="18" t="s">
        <v>132</v>
      </c>
      <c r="H142" s="18"/>
      <c r="I142" s="18" t="s">
        <v>668</v>
      </c>
      <c r="J142" s="18" t="s">
        <v>686</v>
      </c>
    </row>
    <row r="143" customFormat="false" ht="35.05" hidden="false" customHeight="false" outlineLevel="0" collapsed="false">
      <c r="A143" s="18" t="s">
        <v>687</v>
      </c>
      <c r="B143" s="18" t="s">
        <v>688</v>
      </c>
      <c r="C143" s="18" t="s">
        <v>689</v>
      </c>
      <c r="D143" s="18" t="s">
        <v>690</v>
      </c>
      <c r="E143" s="18" t="s">
        <v>691</v>
      </c>
      <c r="F143" s="18" t="s">
        <v>93</v>
      </c>
      <c r="G143" s="18" t="s">
        <v>94</v>
      </c>
      <c r="H143" s="18"/>
      <c r="I143" s="18" t="s">
        <v>668</v>
      </c>
      <c r="J143" s="18" t="s">
        <v>692</v>
      </c>
    </row>
    <row r="144" customFormat="false" ht="35.05" hidden="false" customHeight="false" outlineLevel="0" collapsed="false">
      <c r="A144" s="18" t="s">
        <v>693</v>
      </c>
      <c r="B144" s="18" t="s">
        <v>694</v>
      </c>
      <c r="C144" s="18" t="s">
        <v>695</v>
      </c>
      <c r="D144" s="18" t="s">
        <v>110</v>
      </c>
      <c r="E144" s="18" t="s">
        <v>696</v>
      </c>
      <c r="F144" s="18" t="s">
        <v>116</v>
      </c>
      <c r="G144" s="18" t="s">
        <v>117</v>
      </c>
      <c r="H144" s="18"/>
      <c r="I144" s="18" t="s">
        <v>668</v>
      </c>
      <c r="J144" s="18" t="s">
        <v>697</v>
      </c>
    </row>
    <row r="145" customFormat="false" ht="35.05" hidden="false" customHeight="false" outlineLevel="0" collapsed="false">
      <c r="A145" s="18" t="s">
        <v>698</v>
      </c>
      <c r="B145" s="18" t="s">
        <v>699</v>
      </c>
      <c r="C145" s="18" t="s">
        <v>700</v>
      </c>
      <c r="D145" s="18" t="s">
        <v>701</v>
      </c>
      <c r="E145" s="18" t="s">
        <v>702</v>
      </c>
      <c r="F145" s="18" t="s">
        <v>703</v>
      </c>
      <c r="G145" s="18" t="s">
        <v>704</v>
      </c>
      <c r="H145" s="18"/>
      <c r="I145" s="18" t="s">
        <v>668</v>
      </c>
      <c r="J145" s="18" t="s">
        <v>705</v>
      </c>
    </row>
    <row r="146" customFormat="false" ht="35.05" hidden="false" customHeight="false" outlineLevel="0" collapsed="false">
      <c r="A146" s="18" t="s">
        <v>706</v>
      </c>
      <c r="B146" s="18" t="s">
        <v>707</v>
      </c>
      <c r="C146" s="18" t="s">
        <v>708</v>
      </c>
      <c r="D146" s="18" t="s">
        <v>709</v>
      </c>
      <c r="E146" s="18" t="s">
        <v>710</v>
      </c>
      <c r="F146" s="18" t="s">
        <v>703</v>
      </c>
      <c r="G146" s="18" t="s">
        <v>704</v>
      </c>
      <c r="H146" s="18"/>
      <c r="I146" s="18" t="s">
        <v>668</v>
      </c>
      <c r="J146" s="18"/>
    </row>
    <row r="147" customFormat="false" ht="35.05" hidden="false" customHeight="false" outlineLevel="0" collapsed="false">
      <c r="A147" s="18" t="s">
        <v>711</v>
      </c>
      <c r="B147" s="18" t="s">
        <v>712</v>
      </c>
      <c r="C147" s="18" t="s">
        <v>713</v>
      </c>
      <c r="D147" s="18" t="s">
        <v>714</v>
      </c>
      <c r="E147" s="18" t="s">
        <v>715</v>
      </c>
      <c r="F147" s="18" t="s">
        <v>703</v>
      </c>
      <c r="G147" s="18" t="s">
        <v>704</v>
      </c>
      <c r="H147" s="18"/>
      <c r="I147" s="18" t="s">
        <v>668</v>
      </c>
      <c r="J147" s="18" t="s">
        <v>716</v>
      </c>
    </row>
    <row r="148" customFormat="false" ht="35.05" hidden="false" customHeight="false" outlineLevel="0" collapsed="false">
      <c r="A148" s="18" t="s">
        <v>717</v>
      </c>
      <c r="B148" s="18" t="s">
        <v>718</v>
      </c>
      <c r="C148" s="18" t="s">
        <v>719</v>
      </c>
      <c r="D148" s="18" t="s">
        <v>720</v>
      </c>
      <c r="E148" s="18" t="s">
        <v>721</v>
      </c>
      <c r="F148" s="18" t="s">
        <v>703</v>
      </c>
      <c r="G148" s="18" t="s">
        <v>704</v>
      </c>
      <c r="H148" s="18"/>
      <c r="I148" s="18" t="s">
        <v>668</v>
      </c>
      <c r="J148" s="18"/>
    </row>
    <row r="149" customFormat="false" ht="35.05" hidden="false" customHeight="false" outlineLevel="0" collapsed="false">
      <c r="A149" s="18" t="s">
        <v>722</v>
      </c>
      <c r="B149" s="18" t="s">
        <v>723</v>
      </c>
      <c r="C149" s="18" t="s">
        <v>724</v>
      </c>
      <c r="D149" s="18" t="s">
        <v>725</v>
      </c>
      <c r="E149" s="18" t="s">
        <v>726</v>
      </c>
      <c r="F149" s="18" t="s">
        <v>703</v>
      </c>
      <c r="G149" s="18" t="s">
        <v>704</v>
      </c>
      <c r="H149" s="18"/>
      <c r="I149" s="18" t="s">
        <v>668</v>
      </c>
      <c r="J149" s="18"/>
    </row>
    <row r="150" customFormat="false" ht="35.05" hidden="false" customHeight="false" outlineLevel="0" collapsed="false">
      <c r="A150" s="18" t="s">
        <v>727</v>
      </c>
      <c r="B150" s="18" t="s">
        <v>728</v>
      </c>
      <c r="C150" s="18" t="s">
        <v>729</v>
      </c>
      <c r="D150" s="18" t="s">
        <v>431</v>
      </c>
      <c r="E150" s="18" t="s">
        <v>730</v>
      </c>
      <c r="F150" s="18" t="s">
        <v>394</v>
      </c>
      <c r="G150" s="18" t="s">
        <v>395</v>
      </c>
      <c r="H150" s="18"/>
      <c r="I150" s="18" t="s">
        <v>668</v>
      </c>
      <c r="J150" s="18" t="s">
        <v>731</v>
      </c>
    </row>
    <row r="151" customFormat="false" ht="35.05" hidden="false" customHeight="false" outlineLevel="0" collapsed="false">
      <c r="A151" s="18" t="s">
        <v>732</v>
      </c>
      <c r="B151" s="18" t="s">
        <v>733</v>
      </c>
      <c r="C151" s="18" t="s">
        <v>734</v>
      </c>
      <c r="D151" s="18" t="s">
        <v>735</v>
      </c>
      <c r="E151" s="18" t="s">
        <v>736</v>
      </c>
      <c r="F151" s="18" t="s">
        <v>320</v>
      </c>
      <c r="G151" s="18" t="s">
        <v>321</v>
      </c>
      <c r="H151" s="18"/>
      <c r="I151" s="18" t="s">
        <v>668</v>
      </c>
      <c r="J151" s="18" t="s">
        <v>737</v>
      </c>
    </row>
    <row r="152" customFormat="false" ht="35.05" hidden="false" customHeight="false" outlineLevel="0" collapsed="false">
      <c r="A152" s="18" t="s">
        <v>738</v>
      </c>
      <c r="B152" s="18" t="s">
        <v>739</v>
      </c>
      <c r="C152" s="18" t="s">
        <v>740</v>
      </c>
      <c r="D152" s="18" t="s">
        <v>741</v>
      </c>
      <c r="E152" s="18" t="s">
        <v>742</v>
      </c>
      <c r="F152" s="18" t="s">
        <v>93</v>
      </c>
      <c r="G152" s="18" t="s">
        <v>94</v>
      </c>
      <c r="H152" s="18"/>
      <c r="I152" s="18" t="s">
        <v>668</v>
      </c>
      <c r="J152" s="18" t="s">
        <v>743</v>
      </c>
    </row>
    <row r="153" customFormat="false" ht="23.85" hidden="false" customHeight="false" outlineLevel="0" collapsed="false">
      <c r="A153" s="18" t="s">
        <v>744</v>
      </c>
      <c r="B153" s="18" t="s">
        <v>745</v>
      </c>
      <c r="C153" s="18" t="s">
        <v>595</v>
      </c>
      <c r="D153" s="18" t="s">
        <v>746</v>
      </c>
      <c r="E153" s="18" t="s">
        <v>726</v>
      </c>
      <c r="F153" s="18" t="s">
        <v>499</v>
      </c>
      <c r="G153" s="18" t="s">
        <v>500</v>
      </c>
      <c r="H153" s="18"/>
      <c r="I153" s="18" t="s">
        <v>668</v>
      </c>
      <c r="J153" s="18" t="s">
        <v>747</v>
      </c>
    </row>
    <row r="154" customFormat="false" ht="35.05" hidden="false" customHeight="false" outlineLevel="0" collapsed="false">
      <c r="A154" s="18" t="s">
        <v>748</v>
      </c>
      <c r="B154" s="18" t="s">
        <v>749</v>
      </c>
      <c r="C154" s="18" t="s">
        <v>750</v>
      </c>
      <c r="D154" s="18" t="s">
        <v>751</v>
      </c>
      <c r="E154" s="18" t="s">
        <v>752</v>
      </c>
      <c r="F154" s="18" t="s">
        <v>116</v>
      </c>
      <c r="G154" s="18" t="s">
        <v>117</v>
      </c>
      <c r="H154" s="18"/>
      <c r="I154" s="18" t="s">
        <v>668</v>
      </c>
      <c r="J154" s="18" t="s">
        <v>753</v>
      </c>
    </row>
  </sheetData>
  <autoFilter ref="A4:J154"/>
  <conditionalFormatting sqref="I5:I154">
    <cfRule type="cellIs" priority="2" operator="equal" aboveAverage="0" equalAverage="0" bottom="0" percent="0" rank="0" text="" dxfId="10">
      <formula>"Verified"</formula>
    </cfRule>
    <cfRule type="cellIs" priority="3" operator="equal" aboveAverage="0" equalAverage="0" bottom="0" percent="0" rank="0" text="" dxfId="11">
      <formula>"Conditionally verified"</formula>
    </cfRule>
    <cfRule type="cellIs" priority="4" operator="equal" aboveAverage="0" equalAverage="0" bottom="0" percent="0" rank="0" text="" dxfId="12">
      <formula>"Incorrect"</formula>
    </cfRule>
    <cfRule type="cellIs" priority="5" operator="equal" aboveAverage="0" equalAverage="0" bottom="0" percent="0" rank="0" text="" dxfId="13">
      <formula>"Unverified"</formula>
    </cfRule>
    <cfRule type="cellIs" priority="6" operator="equal" aboveAverage="0" equalAverage="0" bottom="0" percent="0" rank="0" text="" dxfId="14">
      <formula>"Not applicable (gap list)"</formula>
    </cfRule>
  </conditionalFormatting>
  <dataValidations count="1">
    <dataValidation allowBlank="true" errorStyle="stop" operator="between" showDropDown="false" showErrorMessage="false" showInputMessage="false" sqref="I5:I154" type="list">
      <formula1>"Verified,Conditionally verified,Incorrect,Unverified,Not applicable (gap list)"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4" min="13" style="0" width="11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3"/>
    <col collapsed="false" customWidth="true" hidden="false" outlineLevel="0" max="19" min="19" style="0" width="10"/>
    <col collapsed="false" customWidth="true" hidden="false" outlineLevel="0" max="21" min="20" style="0" width="13"/>
    <col collapsed="false" customWidth="true" hidden="false" outlineLevel="0" max="22" min="22" style="0" width="34"/>
    <col collapsed="false" customWidth="true" hidden="false" outlineLevel="0" max="23" min="23" style="0" width="10"/>
    <col collapsed="false" customWidth="true" hidden="false" outlineLevel="0" max="24" min="24" style="0" width="34"/>
    <col collapsed="false" customWidth="true" hidden="false" outlineLevel="0" max="25" min="25" style="0" width="11"/>
    <col collapsed="false" customWidth="true" hidden="false" outlineLevel="0" max="26" min="26" style="0" width="20"/>
    <col collapsed="false" customWidth="true" hidden="false" outlineLevel="0" max="27" min="27" style="0" width="36"/>
  </cols>
  <sheetData>
    <row r="1" customFormat="false" ht="17.35" hidden="false" customHeight="false" outlineLevel="0" collapsed="false">
      <c r="A1" s="1" t="s">
        <v>754</v>
      </c>
    </row>
    <row r="2" customFormat="false" ht="15" hidden="false" customHeight="false" outlineLevel="0" collapsed="false">
      <c r="A2" s="16" t="s">
        <v>755</v>
      </c>
    </row>
    <row r="4" customFormat="false" ht="42" hidden="false" customHeight="true" outlineLevel="0" collapsed="false">
      <c r="A4" s="17" t="s">
        <v>756</v>
      </c>
      <c r="B4" s="17" t="s">
        <v>757</v>
      </c>
      <c r="C4" s="17" t="s">
        <v>758</v>
      </c>
      <c r="D4" s="17" t="s">
        <v>759</v>
      </c>
      <c r="E4" s="17" t="s">
        <v>760</v>
      </c>
      <c r="F4" s="17" t="s">
        <v>761</v>
      </c>
      <c r="G4" s="17" t="s">
        <v>762</v>
      </c>
      <c r="H4" s="17" t="s">
        <v>763</v>
      </c>
      <c r="I4" s="17" t="s">
        <v>764</v>
      </c>
      <c r="J4" s="17" t="s">
        <v>765</v>
      </c>
      <c r="K4" s="17" t="s">
        <v>766</v>
      </c>
      <c r="L4" s="17" t="s">
        <v>767</v>
      </c>
      <c r="M4" s="17" t="s">
        <v>768</v>
      </c>
      <c r="N4" s="17" t="s">
        <v>769</v>
      </c>
      <c r="O4" s="17" t="s">
        <v>770</v>
      </c>
      <c r="P4" s="17" t="s">
        <v>771</v>
      </c>
      <c r="Q4" s="17" t="s">
        <v>772</v>
      </c>
      <c r="R4" s="17" t="s">
        <v>773</v>
      </c>
      <c r="S4" s="17" t="s">
        <v>774</v>
      </c>
      <c r="T4" s="17" t="s">
        <v>775</v>
      </c>
      <c r="U4" s="17" t="s">
        <v>776</v>
      </c>
      <c r="V4" s="17" t="s">
        <v>777</v>
      </c>
      <c r="W4" s="17" t="s">
        <v>778</v>
      </c>
      <c r="X4" s="17" t="s">
        <v>779</v>
      </c>
      <c r="Y4" s="17" t="s">
        <v>780</v>
      </c>
      <c r="Z4" s="17" t="s">
        <v>781</v>
      </c>
      <c r="AA4" s="17" t="s">
        <v>782</v>
      </c>
    </row>
    <row r="5" customFormat="false" ht="23.85" hidden="false" customHeight="false" outlineLevel="0" collapsed="false">
      <c r="A5" s="18" t="s">
        <v>783</v>
      </c>
      <c r="B5" s="18" t="n">
        <v>4</v>
      </c>
      <c r="C5" s="18" t="s">
        <v>79</v>
      </c>
      <c r="D5" s="18" t="s">
        <v>784</v>
      </c>
      <c r="E5" s="18" t="s">
        <v>785</v>
      </c>
      <c r="F5" s="22" t="n">
        <v>7870</v>
      </c>
      <c r="G5" s="23" t="n">
        <f aca="false">IF(ISNUMBER(F5),F5/1000,"")</f>
        <v>7.87</v>
      </c>
      <c r="H5" s="24" t="n">
        <v>205</v>
      </c>
      <c r="I5" s="25" t="n">
        <v>0.29</v>
      </c>
      <c r="J5" s="26" t="n">
        <f aca="false">IF(AND(ISNUMBER(H5),ISNUMBER(I5)),H5/(2*(1+I5)),"")</f>
        <v>79.4573643410853</v>
      </c>
      <c r="K5" s="27" t="n">
        <v>370</v>
      </c>
      <c r="L5" s="27" t="n">
        <v>440</v>
      </c>
      <c r="M5" s="27"/>
      <c r="N5" s="27" t="n">
        <v>15</v>
      </c>
      <c r="O5" s="27" t="s">
        <v>786</v>
      </c>
      <c r="P5" s="27" t="n">
        <v>51.9</v>
      </c>
      <c r="Q5" s="27" t="n">
        <v>11.9</v>
      </c>
      <c r="R5" s="28" t="n">
        <v>1.59E-007</v>
      </c>
      <c r="S5" s="19" t="str">
        <f aca="false">IF(ISNUMBER(L5),"UTS",IF(ISNUMBER(K5),"YS",IF(ISNUMBER(M5),"Flexural","—")))</f>
        <v>UTS</v>
      </c>
      <c r="T5" s="26" t="n">
        <f aca="false">IF(AND(ISNUMBER(F5),OR(ISNUMBER(L5),ISNUMBER(K5),ISNUMBER(M5))),IF(ISNUMBER(L5),L5,IF(ISNUMBER(K5),K5,M5))*1000/F5,"")</f>
        <v>55.9085133418043</v>
      </c>
      <c r="U5" s="29" t="n">
        <f aca="false">IF(AND(ISNUMBER(F5),ISNUMBER(H5)),H5*1000/F5,"")</f>
        <v>26.0482846251588</v>
      </c>
      <c r="V5" s="18"/>
      <c r="W5" s="18" t="s">
        <v>787</v>
      </c>
      <c r="X5" s="18" t="s">
        <v>788</v>
      </c>
      <c r="Y5" s="18" t="s">
        <v>789</v>
      </c>
      <c r="Z5" s="18" t="s">
        <v>20</v>
      </c>
      <c r="AA5" s="18" t="s">
        <v>790</v>
      </c>
    </row>
    <row r="6" customFormat="false" ht="23.85" hidden="false" customHeight="false" outlineLevel="0" collapsed="false">
      <c r="A6" s="18" t="s">
        <v>791</v>
      </c>
      <c r="B6" s="18" t="n">
        <v>9</v>
      </c>
      <c r="C6" s="18" t="s">
        <v>792</v>
      </c>
      <c r="D6" s="18" t="s">
        <v>793</v>
      </c>
      <c r="E6" s="18" t="s">
        <v>785</v>
      </c>
      <c r="F6" s="22" t="n">
        <v>7850</v>
      </c>
      <c r="G6" s="23" t="n">
        <f aca="false">IF(ISNUMBER(F6),F6/1000,"")</f>
        <v>7.85</v>
      </c>
      <c r="H6" s="24" t="n">
        <v>205</v>
      </c>
      <c r="I6" s="25" t="n">
        <v>0.29</v>
      </c>
      <c r="J6" s="26" t="n">
        <f aca="false">IF(AND(ISNUMBER(H6),ISNUMBER(I6)),H6/(2*(1+I6)),"")</f>
        <v>79.4573643410853</v>
      </c>
      <c r="K6" s="27" t="n">
        <v>310</v>
      </c>
      <c r="L6" s="27" t="n">
        <v>565</v>
      </c>
      <c r="M6" s="27"/>
      <c r="N6" s="27" t="n">
        <v>16</v>
      </c>
      <c r="O6" s="27" t="s">
        <v>794</v>
      </c>
      <c r="P6" s="27" t="n">
        <v>49.8</v>
      </c>
      <c r="Q6" s="27" t="n">
        <v>11.9</v>
      </c>
      <c r="R6" s="28"/>
      <c r="S6" s="19" t="str">
        <f aca="false">IF(ISNUMBER(L6),"UTS",IF(ISNUMBER(K6),"YS",IF(ISNUMBER(M6),"Flexural","—")))</f>
        <v>UTS</v>
      </c>
      <c r="T6" s="26" t="n">
        <f aca="false">IF(AND(ISNUMBER(F6),OR(ISNUMBER(L6),ISNUMBER(K6),ISNUMBER(M6))),IF(ISNUMBER(L6),L6,IF(ISNUMBER(K6),K6,M6))*1000/F6,"")</f>
        <v>71.9745222929936</v>
      </c>
      <c r="U6" s="29" t="n">
        <f aca="false">IF(AND(ISNUMBER(F6),ISNUMBER(H6)),H6*1000/F6,"")</f>
        <v>26.1146496815287</v>
      </c>
      <c r="V6" s="18"/>
      <c r="W6" s="18" t="s">
        <v>787</v>
      </c>
      <c r="X6" s="18" t="s">
        <v>788</v>
      </c>
      <c r="Y6" s="18" t="s">
        <v>789</v>
      </c>
      <c r="Z6" s="18" t="s">
        <v>20</v>
      </c>
      <c r="AA6" s="18" t="s">
        <v>795</v>
      </c>
    </row>
    <row r="7" customFormat="false" ht="23.85" hidden="false" customHeight="false" outlineLevel="0" collapsed="false">
      <c r="A7" s="18" t="s">
        <v>796</v>
      </c>
      <c r="B7" s="18" t="n">
        <v>14</v>
      </c>
      <c r="C7" s="18" t="s">
        <v>119</v>
      </c>
      <c r="D7" s="18" t="s">
        <v>797</v>
      </c>
      <c r="E7" s="18" t="s">
        <v>798</v>
      </c>
      <c r="F7" s="22" t="n">
        <v>7850</v>
      </c>
      <c r="G7" s="23" t="n">
        <f aca="false">IF(ISNUMBER(F7),F7/1000,"")</f>
        <v>7.85</v>
      </c>
      <c r="H7" s="24" t="n">
        <v>200</v>
      </c>
      <c r="I7" s="25" t="n">
        <v>0.3</v>
      </c>
      <c r="J7" s="26" t="n">
        <f aca="false">IF(AND(ISNUMBER(H7),ISNUMBER(I7)),H7/(2*(1+I7)),"")</f>
        <v>76.9230769230769</v>
      </c>
      <c r="K7" s="27" t="n">
        <v>250</v>
      </c>
      <c r="L7" s="27" t="n">
        <v>400</v>
      </c>
      <c r="M7" s="27"/>
      <c r="N7" s="27" t="n">
        <v>20</v>
      </c>
      <c r="O7" s="27" t="s">
        <v>799</v>
      </c>
      <c r="P7" s="27" t="n">
        <v>51.9</v>
      </c>
      <c r="Q7" s="27" t="n">
        <v>11.7</v>
      </c>
      <c r="R7" s="28"/>
      <c r="S7" s="19" t="str">
        <f aca="false">IF(ISNUMBER(L7),"UTS",IF(ISNUMBER(K7),"YS",IF(ISNUMBER(M7),"Flexural","—")))</f>
        <v>UTS</v>
      </c>
      <c r="T7" s="26" t="n">
        <f aca="false">IF(AND(ISNUMBER(F7),OR(ISNUMBER(L7),ISNUMBER(K7),ISNUMBER(M7))),IF(ISNUMBER(L7),L7,IF(ISNUMBER(K7),K7,M7))*1000/F7,"")</f>
        <v>50.9554140127389</v>
      </c>
      <c r="U7" s="29" t="n">
        <f aca="false">IF(AND(ISNUMBER(F7),ISNUMBER(H7)),H7*1000/F7,"")</f>
        <v>25.4777070063694</v>
      </c>
      <c r="V7" s="18" t="s">
        <v>800</v>
      </c>
      <c r="W7" s="18" t="s">
        <v>787</v>
      </c>
      <c r="X7" s="18" t="s">
        <v>801</v>
      </c>
      <c r="Y7" s="18" t="s">
        <v>789</v>
      </c>
      <c r="Z7" s="18" t="s">
        <v>20</v>
      </c>
      <c r="AA7" s="18" t="s">
        <v>802</v>
      </c>
    </row>
    <row r="8" customFormat="false" ht="35.05" hidden="false" customHeight="false" outlineLevel="0" collapsed="false">
      <c r="A8" s="18" t="s">
        <v>803</v>
      </c>
      <c r="B8" s="18" t="n">
        <v>12</v>
      </c>
      <c r="C8" s="18" t="s">
        <v>108</v>
      </c>
      <c r="D8" s="18" t="s">
        <v>804</v>
      </c>
      <c r="E8" s="18" t="s">
        <v>798</v>
      </c>
      <c r="F8" s="22" t="n">
        <v>7850</v>
      </c>
      <c r="G8" s="23" t="n">
        <f aca="false">IF(ISNUMBER(F8),F8/1000,"")</f>
        <v>7.85</v>
      </c>
      <c r="H8" s="24" t="n">
        <v>200</v>
      </c>
      <c r="I8" s="25" t="n">
        <v>0.3</v>
      </c>
      <c r="J8" s="26" t="n">
        <f aca="false">IF(AND(ISNUMBER(H8),ISNUMBER(I8)),H8/(2*(1+I8)),"")</f>
        <v>76.9230769230769</v>
      </c>
      <c r="K8" s="27" t="n">
        <v>250</v>
      </c>
      <c r="L8" s="27" t="n">
        <v>410</v>
      </c>
      <c r="M8" s="27"/>
      <c r="N8" s="27" t="n">
        <v>23</v>
      </c>
      <c r="O8" s="27" t="s">
        <v>799</v>
      </c>
      <c r="P8" s="27"/>
      <c r="Q8" s="27"/>
      <c r="R8" s="28"/>
      <c r="S8" s="19" t="str">
        <f aca="false">IF(ISNUMBER(L8),"UTS",IF(ISNUMBER(K8),"YS",IF(ISNUMBER(M8),"Flexural","—")))</f>
        <v>UTS</v>
      </c>
      <c r="T8" s="26" t="n">
        <f aca="false">IF(AND(ISNUMBER(F8),OR(ISNUMBER(L8),ISNUMBER(K8),ISNUMBER(M8))),IF(ISNUMBER(L8),L8,IF(ISNUMBER(K8),K8,M8))*1000/F8,"")</f>
        <v>52.2292993630573</v>
      </c>
      <c r="U8" s="29" t="n">
        <f aca="false">IF(AND(ISNUMBER(F8),ISNUMBER(H8)),H8*1000/F8,"")</f>
        <v>25.4777070063694</v>
      </c>
      <c r="V8" s="18"/>
      <c r="W8" s="18" t="s">
        <v>787</v>
      </c>
      <c r="X8" s="18" t="s">
        <v>801</v>
      </c>
      <c r="Y8" s="18" t="s">
        <v>789</v>
      </c>
      <c r="Z8" s="18" t="s">
        <v>20</v>
      </c>
      <c r="AA8" s="18" t="s">
        <v>805</v>
      </c>
    </row>
    <row r="9" customFormat="false" ht="23.85" hidden="false" customHeight="false" outlineLevel="0" collapsed="false">
      <c r="A9" s="18" t="s">
        <v>806</v>
      </c>
      <c r="B9" s="18" t="n">
        <v>13</v>
      </c>
      <c r="C9" s="18" t="s">
        <v>113</v>
      </c>
      <c r="D9" s="18" t="s">
        <v>807</v>
      </c>
      <c r="E9" s="18" t="s">
        <v>798</v>
      </c>
      <c r="F9" s="22" t="n">
        <v>7850</v>
      </c>
      <c r="G9" s="23" t="n">
        <f aca="false">IF(ISNUMBER(F9),F9/1000,"")</f>
        <v>7.85</v>
      </c>
      <c r="H9" s="24" t="n">
        <v>200</v>
      </c>
      <c r="I9" s="25" t="n">
        <v>0.3</v>
      </c>
      <c r="J9" s="26" t="n">
        <f aca="false">IF(AND(ISNUMBER(H9),ISNUMBER(I9)),H9/(2*(1+I9)),"")</f>
        <v>76.9230769230769</v>
      </c>
      <c r="K9" s="27" t="n">
        <v>350</v>
      </c>
      <c r="L9" s="27" t="n">
        <v>490</v>
      </c>
      <c r="M9" s="27"/>
      <c r="N9" s="27" t="n">
        <v>22</v>
      </c>
      <c r="O9" s="27" t="s">
        <v>799</v>
      </c>
      <c r="P9" s="27"/>
      <c r="Q9" s="27"/>
      <c r="R9" s="28"/>
      <c r="S9" s="19" t="str">
        <f aca="false">IF(ISNUMBER(L9),"UTS",IF(ISNUMBER(K9),"YS",IF(ISNUMBER(M9),"Flexural","—")))</f>
        <v>UTS</v>
      </c>
      <c r="T9" s="26" t="n">
        <f aca="false">IF(AND(ISNUMBER(F9),OR(ISNUMBER(L9),ISNUMBER(K9),ISNUMBER(M9))),IF(ISNUMBER(L9),L9,IF(ISNUMBER(K9),K9,M9))*1000/F9,"")</f>
        <v>62.4203821656051</v>
      </c>
      <c r="U9" s="29" t="n">
        <f aca="false">IF(AND(ISNUMBER(F9),ISNUMBER(H9)),H9*1000/F9,"")</f>
        <v>25.4777070063694</v>
      </c>
      <c r="V9" s="18"/>
      <c r="W9" s="18" t="s">
        <v>787</v>
      </c>
      <c r="X9" s="18" t="s">
        <v>801</v>
      </c>
      <c r="Y9" s="18" t="s">
        <v>789</v>
      </c>
      <c r="Z9" s="18" t="s">
        <v>20</v>
      </c>
      <c r="AA9" s="18" t="s">
        <v>808</v>
      </c>
    </row>
    <row r="10" customFormat="false" ht="23.85" hidden="false" customHeight="false" outlineLevel="0" collapsed="false">
      <c r="A10" s="18" t="s">
        <v>809</v>
      </c>
      <c r="B10" s="18" t="n">
        <v>15</v>
      </c>
      <c r="C10" s="18" t="s">
        <v>810</v>
      </c>
      <c r="D10" s="18" t="s">
        <v>811</v>
      </c>
      <c r="E10" s="18" t="s">
        <v>798</v>
      </c>
      <c r="F10" s="22" t="n">
        <v>7850</v>
      </c>
      <c r="G10" s="23" t="n">
        <f aca="false">IF(ISNUMBER(F10),F10/1000,"")</f>
        <v>7.85</v>
      </c>
      <c r="H10" s="24" t="n">
        <v>200</v>
      </c>
      <c r="I10" s="25" t="n">
        <v>0.3</v>
      </c>
      <c r="J10" s="26" t="n">
        <f aca="false">IF(AND(ISNUMBER(H10),ISNUMBER(I10)),H10/(2*(1+I10)),"")</f>
        <v>76.9230769230769</v>
      </c>
      <c r="K10" s="27" t="n">
        <v>345</v>
      </c>
      <c r="L10" s="27" t="n">
        <v>450</v>
      </c>
      <c r="M10" s="27"/>
      <c r="N10" s="27" t="n">
        <v>18</v>
      </c>
      <c r="O10" s="27" t="s">
        <v>799</v>
      </c>
      <c r="P10" s="27"/>
      <c r="Q10" s="27"/>
      <c r="R10" s="28"/>
      <c r="S10" s="19" t="str">
        <f aca="false">IF(ISNUMBER(L10),"UTS",IF(ISNUMBER(K10),"YS",IF(ISNUMBER(M10),"Flexural","—")))</f>
        <v>UTS</v>
      </c>
      <c r="T10" s="26" t="n">
        <f aca="false">IF(AND(ISNUMBER(F10),OR(ISNUMBER(L10),ISNUMBER(K10),ISNUMBER(M10))),IF(ISNUMBER(L10),L10,IF(ISNUMBER(K10),K10,M10))*1000/F10,"")</f>
        <v>57.3248407643312</v>
      </c>
      <c r="U10" s="29" t="n">
        <f aca="false">IF(AND(ISNUMBER(F10),ISNUMBER(H10)),H10*1000/F10,"")</f>
        <v>25.4777070063694</v>
      </c>
      <c r="V10" s="18" t="s">
        <v>812</v>
      </c>
      <c r="W10" s="18" t="s">
        <v>787</v>
      </c>
      <c r="X10" s="18" t="s">
        <v>801</v>
      </c>
      <c r="Y10" s="18" t="s">
        <v>789</v>
      </c>
      <c r="Z10" s="18" t="s">
        <v>20</v>
      </c>
      <c r="AA10" s="18" t="s">
        <v>813</v>
      </c>
    </row>
    <row r="11" customFormat="false" ht="23.85" hidden="false" customHeight="false" outlineLevel="0" collapsed="false">
      <c r="A11" s="18" t="s">
        <v>814</v>
      </c>
      <c r="B11" s="18" t="n">
        <v>16</v>
      </c>
      <c r="C11" s="18" t="s">
        <v>127</v>
      </c>
      <c r="D11" s="18" t="s">
        <v>815</v>
      </c>
      <c r="E11" s="18" t="s">
        <v>785</v>
      </c>
      <c r="F11" s="22" t="n">
        <v>7850</v>
      </c>
      <c r="G11" s="23" t="n">
        <f aca="false">IF(ISNUMBER(F11),F11/1000,"")</f>
        <v>7.85</v>
      </c>
      <c r="H11" s="24" t="n">
        <v>205</v>
      </c>
      <c r="I11" s="25" t="n">
        <v>0.29</v>
      </c>
      <c r="J11" s="26" t="n">
        <f aca="false">IF(AND(ISNUMBER(H11),ISNUMBER(I11)),H11/(2*(1+I11)),"")</f>
        <v>79.4573643410853</v>
      </c>
      <c r="K11" s="27" t="n">
        <v>435</v>
      </c>
      <c r="L11" s="27" t="n">
        <v>670</v>
      </c>
      <c r="M11" s="27"/>
      <c r="N11" s="27" t="n">
        <v>25.5</v>
      </c>
      <c r="O11" s="27" t="s">
        <v>816</v>
      </c>
      <c r="P11" s="27" t="n">
        <v>42.7</v>
      </c>
      <c r="Q11" s="27" t="n">
        <v>12.3</v>
      </c>
      <c r="R11" s="28"/>
      <c r="S11" s="19" t="str">
        <f aca="false">IF(ISNUMBER(L11),"UTS",IF(ISNUMBER(K11),"YS",IF(ISNUMBER(M11),"Flexural","—")))</f>
        <v>UTS</v>
      </c>
      <c r="T11" s="26" t="n">
        <f aca="false">IF(AND(ISNUMBER(F11),OR(ISNUMBER(L11),ISNUMBER(K11),ISNUMBER(M11))),IF(ISNUMBER(L11),L11,IF(ISNUMBER(K11),K11,M11))*1000/F11,"")</f>
        <v>85.3503184713376</v>
      </c>
      <c r="U11" s="29" t="n">
        <f aca="false">IF(AND(ISNUMBER(F11),ISNUMBER(H11)),H11*1000/F11,"")</f>
        <v>26.1146496815287</v>
      </c>
      <c r="V11" s="18"/>
      <c r="W11" s="18" t="s">
        <v>787</v>
      </c>
      <c r="X11" s="18" t="s">
        <v>788</v>
      </c>
      <c r="Y11" s="18" t="s">
        <v>789</v>
      </c>
      <c r="Z11" s="18" t="s">
        <v>20</v>
      </c>
      <c r="AA11" s="18" t="s">
        <v>817</v>
      </c>
    </row>
    <row r="12" customFormat="false" ht="23.85" hidden="false" customHeight="false" outlineLevel="0" collapsed="false">
      <c r="A12" s="18" t="s">
        <v>818</v>
      </c>
      <c r="B12" s="18" t="n">
        <v>17</v>
      </c>
      <c r="C12" s="18" t="s">
        <v>819</v>
      </c>
      <c r="D12" s="18" t="s">
        <v>820</v>
      </c>
      <c r="E12" s="18" t="s">
        <v>785</v>
      </c>
      <c r="F12" s="22" t="n">
        <v>7850</v>
      </c>
      <c r="G12" s="23" t="n">
        <f aca="false">IF(ISNUMBER(F12),F12/1000,"")</f>
        <v>7.85</v>
      </c>
      <c r="H12" s="24" t="n">
        <v>205</v>
      </c>
      <c r="I12" s="25" t="n">
        <v>0.29</v>
      </c>
      <c r="J12" s="26" t="n">
        <f aca="false">IF(AND(ISNUMBER(H12),ISNUMBER(I12)),H12/(2*(1+I12)),"")</f>
        <v>79.4573643410853</v>
      </c>
      <c r="K12" s="27" t="n">
        <v>417</v>
      </c>
      <c r="L12" s="27" t="n">
        <v>655</v>
      </c>
      <c r="M12" s="27"/>
      <c r="N12" s="27" t="n">
        <v>25.7</v>
      </c>
      <c r="O12" s="27" t="s">
        <v>816</v>
      </c>
      <c r="P12" s="27" t="n">
        <v>42.6</v>
      </c>
      <c r="Q12" s="27" t="n">
        <v>12.3</v>
      </c>
      <c r="R12" s="28"/>
      <c r="S12" s="19" t="str">
        <f aca="false">IF(ISNUMBER(L12),"UTS",IF(ISNUMBER(K12),"YS",IF(ISNUMBER(M12),"Flexural","—")))</f>
        <v>UTS</v>
      </c>
      <c r="T12" s="26" t="n">
        <f aca="false">IF(AND(ISNUMBER(F12),OR(ISNUMBER(L12),ISNUMBER(K12),ISNUMBER(M12))),IF(ISNUMBER(L12),L12,IF(ISNUMBER(K12),K12,M12))*1000/F12,"")</f>
        <v>83.4394904458599</v>
      </c>
      <c r="U12" s="29" t="n">
        <f aca="false">IF(AND(ISNUMBER(F12),ISNUMBER(H12)),H12*1000/F12,"")</f>
        <v>26.1146496815287</v>
      </c>
      <c r="V12" s="18"/>
      <c r="W12" s="18" t="s">
        <v>787</v>
      </c>
      <c r="X12" s="18" t="s">
        <v>788</v>
      </c>
      <c r="Y12" s="18" t="s">
        <v>789</v>
      </c>
      <c r="Z12" s="18" t="s">
        <v>20</v>
      </c>
      <c r="AA12" s="18"/>
    </row>
    <row r="13" customFormat="false" ht="23.85" hidden="false" customHeight="false" outlineLevel="0" collapsed="false">
      <c r="A13" s="18" t="s">
        <v>821</v>
      </c>
      <c r="B13" s="18" t="n">
        <v>17</v>
      </c>
      <c r="C13" s="18" t="s">
        <v>819</v>
      </c>
      <c r="D13" s="18" t="s">
        <v>822</v>
      </c>
      <c r="E13" s="18" t="s">
        <v>785</v>
      </c>
      <c r="F13" s="22" t="n">
        <v>7850</v>
      </c>
      <c r="G13" s="23" t="n">
        <f aca="false">IF(ISNUMBER(F13),F13/1000,"")</f>
        <v>7.85</v>
      </c>
      <c r="H13" s="24" t="n">
        <v>205</v>
      </c>
      <c r="I13" s="25" t="n">
        <v>0.29</v>
      </c>
      <c r="J13" s="26" t="n">
        <f aca="false">IF(AND(ISNUMBER(H13),ISNUMBER(I13)),H13/(2*(1+I13)),"")</f>
        <v>79.4573643410853</v>
      </c>
      <c r="K13" s="27" t="n">
        <v>655</v>
      </c>
      <c r="L13" s="27" t="n">
        <v>758</v>
      </c>
      <c r="M13" s="27"/>
      <c r="N13" s="27" t="n">
        <v>25</v>
      </c>
      <c r="O13" s="27" t="s">
        <v>823</v>
      </c>
      <c r="P13" s="27" t="n">
        <v>42.6</v>
      </c>
      <c r="Q13" s="27" t="n">
        <v>12.3</v>
      </c>
      <c r="R13" s="28"/>
      <c r="S13" s="19" t="str">
        <f aca="false">IF(ISNUMBER(L13),"UTS",IF(ISNUMBER(K13),"YS",IF(ISNUMBER(M13),"Flexural","—")))</f>
        <v>UTS</v>
      </c>
      <c r="T13" s="26" t="n">
        <f aca="false">IF(AND(ISNUMBER(F13),OR(ISNUMBER(L13),ISNUMBER(K13),ISNUMBER(M13))),IF(ISNUMBER(L13),L13,IF(ISNUMBER(K13),K13,M13))*1000/F13,"")</f>
        <v>96.5605095541401</v>
      </c>
      <c r="U13" s="29" t="n">
        <f aca="false">IF(AND(ISNUMBER(F13),ISNUMBER(H13)),H13*1000/F13,"")</f>
        <v>26.1146496815287</v>
      </c>
      <c r="V13" s="18" t="s">
        <v>824</v>
      </c>
      <c r="W13" s="18" t="s">
        <v>787</v>
      </c>
      <c r="X13" s="18" t="s">
        <v>788</v>
      </c>
      <c r="Y13" s="18" t="s">
        <v>825</v>
      </c>
      <c r="Z13" s="18" t="s">
        <v>22</v>
      </c>
      <c r="AA13" s="18" t="s">
        <v>826</v>
      </c>
    </row>
    <row r="14" customFormat="false" ht="23.85" hidden="false" customHeight="false" outlineLevel="0" collapsed="false">
      <c r="A14" s="18" t="s">
        <v>827</v>
      </c>
      <c r="B14" s="18" t="n">
        <v>18</v>
      </c>
      <c r="C14" s="18" t="s">
        <v>138</v>
      </c>
      <c r="D14" s="18" t="s">
        <v>828</v>
      </c>
      <c r="E14" s="18" t="s">
        <v>785</v>
      </c>
      <c r="F14" s="22" t="n">
        <v>7850</v>
      </c>
      <c r="G14" s="23" t="n">
        <f aca="false">IF(ISNUMBER(F14),F14/1000,"")</f>
        <v>7.85</v>
      </c>
      <c r="H14" s="24" t="n">
        <v>205</v>
      </c>
      <c r="I14" s="25" t="n">
        <v>0.29</v>
      </c>
      <c r="J14" s="26" t="n">
        <f aca="false">IF(AND(ISNUMBER(H14),ISNUMBER(I14)),H14/(2*(1+I14)),"")</f>
        <v>79.4573643410853</v>
      </c>
      <c r="K14" s="27" t="n">
        <v>472</v>
      </c>
      <c r="L14" s="27" t="n">
        <v>745</v>
      </c>
      <c r="M14" s="27"/>
      <c r="N14" s="27" t="n">
        <v>22</v>
      </c>
      <c r="O14" s="27" t="s">
        <v>829</v>
      </c>
      <c r="P14" s="27" t="n">
        <v>44.5</v>
      </c>
      <c r="Q14" s="27" t="n">
        <v>12.3</v>
      </c>
      <c r="R14" s="28"/>
      <c r="S14" s="19" t="str">
        <f aca="false">IF(ISNUMBER(L14),"UTS",IF(ISNUMBER(K14),"YS",IF(ISNUMBER(M14),"Flexural","—")))</f>
        <v>UTS</v>
      </c>
      <c r="T14" s="26" t="n">
        <f aca="false">IF(AND(ISNUMBER(F14),OR(ISNUMBER(L14),ISNUMBER(K14),ISNUMBER(M14))),IF(ISNUMBER(L14),L14,IF(ISNUMBER(K14),K14,M14))*1000/F14,"")</f>
        <v>94.9044585987261</v>
      </c>
      <c r="U14" s="29" t="n">
        <f aca="false">IF(AND(ISNUMBER(F14),ISNUMBER(H14)),H14*1000/F14,"")</f>
        <v>26.1146496815287</v>
      </c>
      <c r="V14" s="18"/>
      <c r="W14" s="18" t="s">
        <v>787</v>
      </c>
      <c r="X14" s="18" t="s">
        <v>788</v>
      </c>
      <c r="Y14" s="18" t="s">
        <v>789</v>
      </c>
      <c r="Z14" s="18" t="s">
        <v>20</v>
      </c>
      <c r="AA14" s="18" t="s">
        <v>830</v>
      </c>
    </row>
    <row r="15" customFormat="false" ht="23.85" hidden="false" customHeight="false" outlineLevel="0" collapsed="false">
      <c r="A15" s="18" t="s">
        <v>831</v>
      </c>
      <c r="B15" s="18" t="n">
        <v>19</v>
      </c>
      <c r="C15" s="18" t="s">
        <v>142</v>
      </c>
      <c r="D15" s="18" t="s">
        <v>832</v>
      </c>
      <c r="E15" s="18" t="s">
        <v>785</v>
      </c>
      <c r="F15" s="22" t="n">
        <v>7850</v>
      </c>
      <c r="G15" s="23" t="n">
        <f aca="false">IF(ISNUMBER(F15),F15/1000,"")</f>
        <v>7.85</v>
      </c>
      <c r="H15" s="24" t="n">
        <v>205</v>
      </c>
      <c r="I15" s="25" t="n">
        <v>0.29</v>
      </c>
      <c r="J15" s="26" t="n">
        <f aca="false">IF(AND(ISNUMBER(H15),ISNUMBER(I15)),H15/(2*(1+I15)),"")</f>
        <v>79.4573643410853</v>
      </c>
      <c r="K15" s="27" t="n">
        <v>357</v>
      </c>
      <c r="L15" s="27" t="n">
        <v>632</v>
      </c>
      <c r="M15" s="27"/>
      <c r="N15" s="27" t="n">
        <v>26</v>
      </c>
      <c r="O15" s="27" t="s">
        <v>833</v>
      </c>
      <c r="P15" s="27" t="n">
        <v>46.6</v>
      </c>
      <c r="Q15" s="27"/>
      <c r="R15" s="28"/>
      <c r="S15" s="19" t="str">
        <f aca="false">IF(ISNUMBER(L15),"UTS",IF(ISNUMBER(K15),"YS",IF(ISNUMBER(M15),"Flexural","—")))</f>
        <v>UTS</v>
      </c>
      <c r="T15" s="26" t="n">
        <f aca="false">IF(AND(ISNUMBER(F15),OR(ISNUMBER(L15),ISNUMBER(K15),ISNUMBER(M15))),IF(ISNUMBER(L15),L15,IF(ISNUMBER(K15),K15,M15))*1000/F15,"")</f>
        <v>80.5095541401274</v>
      </c>
      <c r="U15" s="29" t="n">
        <f aca="false">IF(AND(ISNUMBER(F15),ISNUMBER(H15)),H15*1000/F15,"")</f>
        <v>26.1146496815287</v>
      </c>
      <c r="V15" s="18" t="s">
        <v>834</v>
      </c>
      <c r="W15" s="18" t="s">
        <v>787</v>
      </c>
      <c r="X15" s="18" t="s">
        <v>788</v>
      </c>
      <c r="Y15" s="18" t="s">
        <v>789</v>
      </c>
      <c r="Z15" s="18" t="s">
        <v>20</v>
      </c>
      <c r="AA15" s="18"/>
    </row>
    <row r="16" customFormat="false" ht="23.85" hidden="false" customHeight="false" outlineLevel="0" collapsed="false">
      <c r="A16" s="18" t="s">
        <v>835</v>
      </c>
      <c r="B16" s="18" t="n">
        <v>52</v>
      </c>
      <c r="C16" s="18" t="s">
        <v>836</v>
      </c>
      <c r="D16" s="18" t="s">
        <v>837</v>
      </c>
      <c r="E16" s="18" t="s">
        <v>785</v>
      </c>
      <c r="F16" s="22" t="n">
        <v>7810</v>
      </c>
      <c r="G16" s="23" t="n">
        <f aca="false">IF(ISNUMBER(F16),F16/1000,"")</f>
        <v>7.81</v>
      </c>
      <c r="H16" s="24" t="n">
        <v>201</v>
      </c>
      <c r="I16" s="25" t="n">
        <v>0.3</v>
      </c>
      <c r="J16" s="26" t="n">
        <f aca="false">IF(AND(ISNUMBER(H16),ISNUMBER(I16)),H16/(2*(1+I16)),"")</f>
        <v>77.3076923076923</v>
      </c>
      <c r="K16" s="27"/>
      <c r="L16" s="27"/>
      <c r="M16" s="27"/>
      <c r="N16" s="27"/>
      <c r="O16" s="27" t="s">
        <v>838</v>
      </c>
      <c r="P16" s="27"/>
      <c r="Q16" s="27"/>
      <c r="R16" s="28"/>
      <c r="S16" s="19" t="str">
        <f aca="false">IF(ISNUMBER(L16),"UTS",IF(ISNUMBER(K16),"YS",IF(ISNUMBER(M16),"Flexural","—")))</f>
        <v>—</v>
      </c>
      <c r="T16" s="26" t="str">
        <f aca="false">IF(AND(ISNUMBER(F16),OR(ISNUMBER(L16),ISNUMBER(K16),ISNUMBER(M16))),IF(ISNUMBER(L16),L16,IF(ISNUMBER(K16),K16,M16))*1000/F16,"")</f>
        <v/>
      </c>
      <c r="U16" s="29" t="n">
        <f aca="false">IF(AND(ISNUMBER(F16),ISNUMBER(H16)),H16*1000/F16,"")</f>
        <v>25.7362355953905</v>
      </c>
      <c r="V16" s="18" t="s">
        <v>839</v>
      </c>
      <c r="W16" s="18" t="s">
        <v>787</v>
      </c>
      <c r="X16" s="18" t="s">
        <v>788</v>
      </c>
      <c r="Y16" s="18" t="s">
        <v>789</v>
      </c>
      <c r="Z16" s="18" t="s">
        <v>20</v>
      </c>
      <c r="AA16" s="18" t="s">
        <v>840</v>
      </c>
    </row>
    <row r="17" customFormat="false" ht="23.85" hidden="false" customHeight="false" outlineLevel="0" collapsed="false">
      <c r="A17" s="18" t="s">
        <v>841</v>
      </c>
      <c r="B17" s="18" t="n">
        <v>33</v>
      </c>
      <c r="C17" s="18" t="s">
        <v>842</v>
      </c>
      <c r="D17" s="18" t="s">
        <v>843</v>
      </c>
      <c r="E17" s="18" t="s">
        <v>798</v>
      </c>
      <c r="F17" s="22" t="n">
        <v>8000</v>
      </c>
      <c r="G17" s="23" t="n">
        <f aca="false">IF(ISNUMBER(F17),F17/1000,"")</f>
        <v>8</v>
      </c>
      <c r="H17" s="24" t="n">
        <v>193</v>
      </c>
      <c r="I17" s="25" t="n">
        <v>0.29</v>
      </c>
      <c r="J17" s="26" t="n">
        <f aca="false">IF(AND(ISNUMBER(H17),ISNUMBER(I17)),H17/(2*(1+I17)),"")</f>
        <v>74.8062015503876</v>
      </c>
      <c r="K17" s="27" t="n">
        <v>205</v>
      </c>
      <c r="L17" s="27" t="n">
        <v>515</v>
      </c>
      <c r="M17" s="27"/>
      <c r="N17" s="27" t="n">
        <v>40</v>
      </c>
      <c r="O17" s="27" t="s">
        <v>844</v>
      </c>
      <c r="P17" s="27" t="n">
        <v>16.2</v>
      </c>
      <c r="Q17" s="27" t="n">
        <v>17.2</v>
      </c>
      <c r="R17" s="28" t="n">
        <v>7.2E-007</v>
      </c>
      <c r="S17" s="19" t="str">
        <f aca="false">IF(ISNUMBER(L17),"UTS",IF(ISNUMBER(K17),"YS",IF(ISNUMBER(M17),"Flexural","—")))</f>
        <v>UTS</v>
      </c>
      <c r="T17" s="26" t="n">
        <f aca="false">IF(AND(ISNUMBER(F17),OR(ISNUMBER(L17),ISNUMBER(K17),ISNUMBER(M17))),IF(ISNUMBER(L17),L17,IF(ISNUMBER(K17),K17,M17))*1000/F17,"")</f>
        <v>64.375</v>
      </c>
      <c r="U17" s="29" t="n">
        <f aca="false">IF(AND(ISNUMBER(F17),ISNUMBER(H17)),H17*1000/F17,"")</f>
        <v>24.125</v>
      </c>
      <c r="V17" s="18"/>
      <c r="W17" s="18" t="s">
        <v>787</v>
      </c>
      <c r="X17" s="18" t="s">
        <v>801</v>
      </c>
      <c r="Y17" s="18" t="s">
        <v>789</v>
      </c>
      <c r="Z17" s="18" t="s">
        <v>20</v>
      </c>
      <c r="AA17" s="18" t="s">
        <v>845</v>
      </c>
    </row>
    <row r="18" customFormat="false" ht="23.85" hidden="false" customHeight="false" outlineLevel="0" collapsed="false">
      <c r="A18" s="18" t="s">
        <v>846</v>
      </c>
      <c r="B18" s="18" t="n">
        <v>36</v>
      </c>
      <c r="C18" s="18" t="s">
        <v>847</v>
      </c>
      <c r="D18" s="18" t="s">
        <v>843</v>
      </c>
      <c r="E18" s="18" t="s">
        <v>798</v>
      </c>
      <c r="F18" s="22" t="n">
        <v>8000</v>
      </c>
      <c r="G18" s="23" t="n">
        <f aca="false">IF(ISNUMBER(F18),F18/1000,"")</f>
        <v>8</v>
      </c>
      <c r="H18" s="24" t="n">
        <v>193</v>
      </c>
      <c r="I18" s="25" t="n">
        <v>0.3</v>
      </c>
      <c r="J18" s="26" t="n">
        <f aca="false">IF(AND(ISNUMBER(H18),ISNUMBER(I18)),H18/(2*(1+I18)),"")</f>
        <v>74.2307692307692</v>
      </c>
      <c r="K18" s="27" t="n">
        <v>170</v>
      </c>
      <c r="L18" s="27" t="n">
        <v>485</v>
      </c>
      <c r="M18" s="27"/>
      <c r="N18" s="27" t="n">
        <v>40</v>
      </c>
      <c r="O18" s="27" t="s">
        <v>848</v>
      </c>
      <c r="P18" s="27" t="n">
        <v>16.3</v>
      </c>
      <c r="Q18" s="27" t="n">
        <v>16</v>
      </c>
      <c r="R18" s="28" t="n">
        <v>7.4E-007</v>
      </c>
      <c r="S18" s="19" t="str">
        <f aca="false">IF(ISNUMBER(L18),"UTS",IF(ISNUMBER(K18),"YS",IF(ISNUMBER(M18),"Flexural","—")))</f>
        <v>UTS</v>
      </c>
      <c r="T18" s="26" t="n">
        <f aca="false">IF(AND(ISNUMBER(F18),OR(ISNUMBER(L18),ISNUMBER(K18),ISNUMBER(M18))),IF(ISNUMBER(L18),L18,IF(ISNUMBER(K18),K18,M18))*1000/F18,"")</f>
        <v>60.625</v>
      </c>
      <c r="U18" s="29" t="n">
        <f aca="false">IF(AND(ISNUMBER(F18),ISNUMBER(H18)),H18*1000/F18,"")</f>
        <v>24.125</v>
      </c>
      <c r="V18" s="18"/>
      <c r="W18" s="18" t="s">
        <v>787</v>
      </c>
      <c r="X18" s="18" t="s">
        <v>801</v>
      </c>
      <c r="Y18" s="18" t="s">
        <v>789</v>
      </c>
      <c r="Z18" s="18" t="s">
        <v>20</v>
      </c>
      <c r="AA18" s="18"/>
    </row>
    <row r="19" customFormat="false" ht="35.05" hidden="false" customHeight="false" outlineLevel="0" collapsed="false">
      <c r="A19" s="18" t="s">
        <v>849</v>
      </c>
      <c r="B19" s="18" t="n">
        <v>43</v>
      </c>
      <c r="C19" s="18" t="s">
        <v>850</v>
      </c>
      <c r="D19" s="18" t="s">
        <v>851</v>
      </c>
      <c r="E19" s="18" t="s">
        <v>798</v>
      </c>
      <c r="F19" s="22" t="n">
        <v>7800</v>
      </c>
      <c r="G19" s="23" t="n">
        <f aca="false">IF(ISNUMBER(F19),F19/1000,"")</f>
        <v>7.8</v>
      </c>
      <c r="H19" s="24" t="n">
        <v>200</v>
      </c>
      <c r="I19" s="25" t="n">
        <v>0.3</v>
      </c>
      <c r="J19" s="26" t="n">
        <f aca="false">IF(AND(ISNUMBER(H19),ISNUMBER(I19)),H19/(2*(1+I19)),"")</f>
        <v>76.9230769230769</v>
      </c>
      <c r="K19" s="27" t="n">
        <v>450</v>
      </c>
      <c r="L19" s="27" t="n">
        <v>655</v>
      </c>
      <c r="M19" s="27"/>
      <c r="N19" s="27" t="n">
        <v>25</v>
      </c>
      <c r="O19" s="27" t="s">
        <v>852</v>
      </c>
      <c r="P19" s="27" t="n">
        <v>19</v>
      </c>
      <c r="Q19" s="27" t="n">
        <v>13</v>
      </c>
      <c r="R19" s="28" t="n">
        <v>8E-007</v>
      </c>
      <c r="S19" s="19" t="str">
        <f aca="false">IF(ISNUMBER(L19),"UTS",IF(ISNUMBER(K19),"YS",IF(ISNUMBER(M19),"Flexural","—")))</f>
        <v>UTS</v>
      </c>
      <c r="T19" s="26" t="n">
        <f aca="false">IF(AND(ISNUMBER(F19),OR(ISNUMBER(L19),ISNUMBER(K19),ISNUMBER(M19))),IF(ISNUMBER(L19),L19,IF(ISNUMBER(K19),K19,M19))*1000/F19,"")</f>
        <v>83.974358974359</v>
      </c>
      <c r="U19" s="29" t="n">
        <f aca="false">IF(AND(ISNUMBER(F19),ISNUMBER(H19)),H19*1000/F19,"")</f>
        <v>25.6410256410256</v>
      </c>
      <c r="V19" s="18"/>
      <c r="W19" s="18" t="s">
        <v>787</v>
      </c>
      <c r="X19" s="18" t="s">
        <v>801</v>
      </c>
      <c r="Y19" s="18" t="s">
        <v>789</v>
      </c>
      <c r="Z19" s="18" t="s">
        <v>20</v>
      </c>
      <c r="AA19" s="18" t="s">
        <v>853</v>
      </c>
    </row>
    <row r="20" customFormat="false" ht="23.85" hidden="false" customHeight="false" outlineLevel="0" collapsed="false">
      <c r="A20" s="18" t="s">
        <v>854</v>
      </c>
      <c r="B20" s="18" t="n">
        <v>44</v>
      </c>
      <c r="C20" s="18" t="s">
        <v>855</v>
      </c>
      <c r="D20" s="18" t="s">
        <v>856</v>
      </c>
      <c r="E20" s="18" t="s">
        <v>798</v>
      </c>
      <c r="F20" s="22" t="n">
        <v>7780</v>
      </c>
      <c r="G20" s="23" t="n">
        <f aca="false">IF(ISNUMBER(F20),F20/1000,"")</f>
        <v>7.78</v>
      </c>
      <c r="H20" s="24" t="n">
        <v>197</v>
      </c>
      <c r="I20" s="25" t="n">
        <v>0.27</v>
      </c>
      <c r="J20" s="26" t="n">
        <f aca="false">IF(AND(ISNUMBER(H20),ISNUMBER(I20)),H20/(2*(1+I20)),"")</f>
        <v>77.5590551181102</v>
      </c>
      <c r="K20" s="27" t="n">
        <v>1000</v>
      </c>
      <c r="L20" s="27" t="n">
        <v>1070</v>
      </c>
      <c r="M20" s="27"/>
      <c r="N20" s="27" t="n">
        <v>12</v>
      </c>
      <c r="O20" s="27" t="s">
        <v>857</v>
      </c>
      <c r="P20" s="27"/>
      <c r="Q20" s="27"/>
      <c r="R20" s="28"/>
      <c r="S20" s="19" t="str">
        <f aca="false">IF(ISNUMBER(L20),"UTS",IF(ISNUMBER(K20),"YS",IF(ISNUMBER(M20),"Flexural","—")))</f>
        <v>UTS</v>
      </c>
      <c r="T20" s="26" t="n">
        <f aca="false">IF(AND(ISNUMBER(F20),OR(ISNUMBER(L20),ISNUMBER(K20),ISNUMBER(M20))),IF(ISNUMBER(L20),L20,IF(ISNUMBER(K20),K20,M20))*1000/F20,"")</f>
        <v>137.532133676093</v>
      </c>
      <c r="U20" s="29" t="n">
        <f aca="false">IF(AND(ISNUMBER(F20),ISNUMBER(H20)),H20*1000/F20,"")</f>
        <v>25.3213367609255</v>
      </c>
      <c r="V20" s="18"/>
      <c r="W20" s="18" t="s">
        <v>787</v>
      </c>
      <c r="X20" s="18" t="s">
        <v>801</v>
      </c>
      <c r="Y20" s="18" t="s">
        <v>789</v>
      </c>
      <c r="Z20" s="18" t="s">
        <v>20</v>
      </c>
      <c r="AA20" s="18" t="s">
        <v>858</v>
      </c>
    </row>
    <row r="21" customFormat="false" ht="23.85" hidden="false" customHeight="false" outlineLevel="0" collapsed="false">
      <c r="A21" s="18" t="s">
        <v>859</v>
      </c>
      <c r="B21" s="18" t="n">
        <v>41</v>
      </c>
      <c r="C21" s="18" t="s">
        <v>860</v>
      </c>
      <c r="D21" s="18" t="s">
        <v>843</v>
      </c>
      <c r="E21" s="18" t="s">
        <v>798</v>
      </c>
      <c r="F21" s="22" t="n">
        <v>7740</v>
      </c>
      <c r="G21" s="23" t="n">
        <f aca="false">IF(ISNUMBER(F21),F21/1000,"")</f>
        <v>7.74</v>
      </c>
      <c r="H21" s="24" t="n">
        <v>200</v>
      </c>
      <c r="I21" s="25" t="n">
        <v>0.28</v>
      </c>
      <c r="J21" s="26" t="n">
        <f aca="false">IF(AND(ISNUMBER(H21),ISNUMBER(I21)),H21/(2*(1+I21)),"")</f>
        <v>78.125</v>
      </c>
      <c r="K21" s="27" t="n">
        <v>205</v>
      </c>
      <c r="L21" s="27" t="n">
        <v>450</v>
      </c>
      <c r="M21" s="27"/>
      <c r="N21" s="27" t="n">
        <v>22</v>
      </c>
      <c r="O21" s="27" t="s">
        <v>861</v>
      </c>
      <c r="P21" s="27" t="n">
        <v>26.1</v>
      </c>
      <c r="Q21" s="27" t="n">
        <v>10.4</v>
      </c>
      <c r="R21" s="28" t="n">
        <v>6E-007</v>
      </c>
      <c r="S21" s="19" t="str">
        <f aca="false">IF(ISNUMBER(L21),"UTS",IF(ISNUMBER(K21),"YS",IF(ISNUMBER(M21),"Flexural","—")))</f>
        <v>UTS</v>
      </c>
      <c r="T21" s="26" t="n">
        <f aca="false">IF(AND(ISNUMBER(F21),OR(ISNUMBER(L21),ISNUMBER(K21),ISNUMBER(M21))),IF(ISNUMBER(L21),L21,IF(ISNUMBER(K21),K21,M21))*1000/F21,"")</f>
        <v>58.1395348837209</v>
      </c>
      <c r="U21" s="29" t="n">
        <f aca="false">IF(AND(ISNUMBER(F21),ISNUMBER(H21)),H21*1000/F21,"")</f>
        <v>25.8397932816537</v>
      </c>
      <c r="V21" s="18"/>
      <c r="W21" s="18" t="s">
        <v>787</v>
      </c>
      <c r="X21" s="18" t="s">
        <v>801</v>
      </c>
      <c r="Y21" s="18" t="s">
        <v>789</v>
      </c>
      <c r="Z21" s="18" t="s">
        <v>20</v>
      </c>
      <c r="AA21" s="18"/>
    </row>
    <row r="22" customFormat="false" ht="23.85" hidden="false" customHeight="false" outlineLevel="0" collapsed="false">
      <c r="A22" s="18" t="s">
        <v>862</v>
      </c>
      <c r="B22" s="18" t="n">
        <v>42</v>
      </c>
      <c r="C22" s="18" t="s">
        <v>236</v>
      </c>
      <c r="D22" s="18" t="s">
        <v>863</v>
      </c>
      <c r="E22" s="18" t="s">
        <v>785</v>
      </c>
      <c r="F22" s="22" t="n">
        <v>7650</v>
      </c>
      <c r="G22" s="23" t="n">
        <f aca="false">IF(ISNUMBER(F22),F22/1000,"")</f>
        <v>7.65</v>
      </c>
      <c r="H22" s="24" t="n">
        <v>200</v>
      </c>
      <c r="I22" s="25"/>
      <c r="J22" s="26" t="str">
        <f aca="false">IF(AND(ISNUMBER(H22),ISNUMBER(I22)),H22/(2*(1+I22)),"")</f>
        <v/>
      </c>
      <c r="K22" s="27"/>
      <c r="L22" s="27"/>
      <c r="M22" s="27"/>
      <c r="N22" s="27"/>
      <c r="O22" s="27" t="s">
        <v>864</v>
      </c>
      <c r="P22" s="27"/>
      <c r="Q22" s="27"/>
      <c r="R22" s="28"/>
      <c r="S22" s="19" t="str">
        <f aca="false">IF(ISNUMBER(L22),"UTS",IF(ISNUMBER(K22),"YS",IF(ISNUMBER(M22),"Flexural","—")))</f>
        <v>—</v>
      </c>
      <c r="T22" s="26" t="str">
        <f aca="false">IF(AND(ISNUMBER(F22),OR(ISNUMBER(L22),ISNUMBER(K22),ISNUMBER(M22))),IF(ISNUMBER(L22),L22,IF(ISNUMBER(K22),K22,M22))*1000/F22,"")</f>
        <v/>
      </c>
      <c r="U22" s="29" t="n">
        <f aca="false">IF(AND(ISNUMBER(F22),ISNUMBER(H22)),H22*1000/F22,"")</f>
        <v>26.1437908496732</v>
      </c>
      <c r="V22" s="18"/>
      <c r="W22" s="18" t="s">
        <v>787</v>
      </c>
      <c r="X22" s="18" t="s">
        <v>788</v>
      </c>
      <c r="Y22" s="18" t="s">
        <v>789</v>
      </c>
      <c r="Z22" s="18" t="s">
        <v>20</v>
      </c>
      <c r="AA22" s="18" t="s">
        <v>865</v>
      </c>
    </row>
    <row r="23" customFormat="false" ht="23.85" hidden="false" customHeight="false" outlineLevel="0" collapsed="false">
      <c r="A23" s="18" t="s">
        <v>866</v>
      </c>
      <c r="B23" s="18" t="n">
        <v>47</v>
      </c>
      <c r="C23" s="18" t="s">
        <v>262</v>
      </c>
      <c r="D23" s="18" t="s">
        <v>867</v>
      </c>
      <c r="E23" s="18" t="s">
        <v>785</v>
      </c>
      <c r="F23" s="22" t="n">
        <v>7700</v>
      </c>
      <c r="G23" s="23" t="n">
        <f aca="false">IF(ISNUMBER(F23),F23/1000,"")</f>
        <v>7.7</v>
      </c>
      <c r="H23" s="24"/>
      <c r="I23" s="25"/>
      <c r="J23" s="26" t="str">
        <f aca="false">IF(AND(ISNUMBER(H23),ISNUMBER(I23)),H23/(2*(1+I23)),"")</f>
        <v/>
      </c>
      <c r="K23" s="27"/>
      <c r="L23" s="27"/>
      <c r="M23" s="27"/>
      <c r="N23" s="27"/>
      <c r="O23" s="27" t="s">
        <v>868</v>
      </c>
      <c r="P23" s="27"/>
      <c r="Q23" s="27"/>
      <c r="R23" s="28"/>
      <c r="S23" s="19" t="str">
        <f aca="false">IF(ISNUMBER(L23),"UTS",IF(ISNUMBER(K23),"YS",IF(ISNUMBER(M23),"Flexural","—")))</f>
        <v>—</v>
      </c>
      <c r="T23" s="26" t="str">
        <f aca="false">IF(AND(ISNUMBER(F23),OR(ISNUMBER(L23),ISNUMBER(K23),ISNUMBER(M23))),IF(ISNUMBER(L23),L23,IF(ISNUMBER(K23),K23,M23))*1000/F23,"")</f>
        <v/>
      </c>
      <c r="U23" s="29" t="str">
        <f aca="false">IF(AND(ISNUMBER(F23),ISNUMBER(H23)),H23*1000/F23,"")</f>
        <v/>
      </c>
      <c r="V23" s="18"/>
      <c r="W23" s="18" t="s">
        <v>787</v>
      </c>
      <c r="X23" s="18" t="s">
        <v>788</v>
      </c>
      <c r="Y23" s="18" t="s">
        <v>789</v>
      </c>
      <c r="Z23" s="18" t="s">
        <v>20</v>
      </c>
      <c r="AA23" s="18" t="s">
        <v>869</v>
      </c>
    </row>
    <row r="24" customFormat="false" ht="23.85" hidden="false" customHeight="false" outlineLevel="0" collapsed="false">
      <c r="A24" s="18" t="s">
        <v>870</v>
      </c>
      <c r="B24" s="18" t="n">
        <v>49</v>
      </c>
      <c r="C24" s="18" t="s">
        <v>270</v>
      </c>
      <c r="D24" s="18" t="s">
        <v>871</v>
      </c>
      <c r="E24" s="18" t="s">
        <v>785</v>
      </c>
      <c r="F24" s="22" t="n">
        <v>7800</v>
      </c>
      <c r="G24" s="23" t="n">
        <f aca="false">IF(ISNUMBER(F24),F24/1000,"")</f>
        <v>7.8</v>
      </c>
      <c r="H24" s="24"/>
      <c r="I24" s="25"/>
      <c r="J24" s="26" t="str">
        <f aca="false">IF(AND(ISNUMBER(H24),ISNUMBER(I24)),H24/(2*(1+I24)),"")</f>
        <v/>
      </c>
      <c r="K24" s="27"/>
      <c r="L24" s="27"/>
      <c r="M24" s="27"/>
      <c r="N24" s="27"/>
      <c r="O24" s="27" t="s">
        <v>872</v>
      </c>
      <c r="P24" s="27"/>
      <c r="Q24" s="27"/>
      <c r="R24" s="28"/>
      <c r="S24" s="19" t="str">
        <f aca="false">IF(ISNUMBER(L24),"UTS",IF(ISNUMBER(K24),"YS",IF(ISNUMBER(M24),"Flexural","—")))</f>
        <v>—</v>
      </c>
      <c r="T24" s="26" t="str">
        <f aca="false">IF(AND(ISNUMBER(F24),OR(ISNUMBER(L24),ISNUMBER(K24),ISNUMBER(M24))),IF(ISNUMBER(L24),L24,IF(ISNUMBER(K24),K24,M24))*1000/F24,"")</f>
        <v/>
      </c>
      <c r="U24" s="29" t="str">
        <f aca="false">IF(AND(ISNUMBER(F24),ISNUMBER(H24)),H24*1000/F24,"")</f>
        <v/>
      </c>
      <c r="V24" s="18"/>
      <c r="W24" s="18" t="s">
        <v>787</v>
      </c>
      <c r="X24" s="18" t="s">
        <v>788</v>
      </c>
      <c r="Y24" s="18" t="s">
        <v>789</v>
      </c>
      <c r="Z24" s="18" t="s">
        <v>20</v>
      </c>
      <c r="AA24" s="18"/>
    </row>
    <row r="25" customFormat="false" ht="23.85" hidden="false" customHeight="false" outlineLevel="0" collapsed="false">
      <c r="A25" s="18" t="s">
        <v>873</v>
      </c>
      <c r="B25" s="18" t="n">
        <v>50</v>
      </c>
      <c r="C25" s="18" t="s">
        <v>272</v>
      </c>
      <c r="D25" s="18" t="s">
        <v>874</v>
      </c>
      <c r="E25" s="18" t="s">
        <v>785</v>
      </c>
      <c r="F25" s="22" t="n">
        <v>8150</v>
      </c>
      <c r="G25" s="23" t="n">
        <f aca="false">IF(ISNUMBER(F25),F25/1000,"")</f>
        <v>8.15</v>
      </c>
      <c r="H25" s="24"/>
      <c r="I25" s="25"/>
      <c r="J25" s="26" t="str">
        <f aca="false">IF(AND(ISNUMBER(H25),ISNUMBER(I25)),H25/(2*(1+I25)),"")</f>
        <v/>
      </c>
      <c r="K25" s="27"/>
      <c r="L25" s="27"/>
      <c r="M25" s="27"/>
      <c r="N25" s="27"/>
      <c r="O25" s="27" t="s">
        <v>875</v>
      </c>
      <c r="P25" s="27"/>
      <c r="Q25" s="27"/>
      <c r="R25" s="28"/>
      <c r="S25" s="19" t="str">
        <f aca="false">IF(ISNUMBER(L25),"UTS",IF(ISNUMBER(K25),"YS",IF(ISNUMBER(M25),"Flexural","—")))</f>
        <v>—</v>
      </c>
      <c r="T25" s="26" t="str">
        <f aca="false">IF(AND(ISNUMBER(F25),OR(ISNUMBER(L25),ISNUMBER(K25),ISNUMBER(M25))),IF(ISNUMBER(L25),L25,IF(ISNUMBER(K25),K25,M25))*1000/F25,"")</f>
        <v/>
      </c>
      <c r="U25" s="29" t="str">
        <f aca="false">IF(AND(ISNUMBER(F25),ISNUMBER(H25)),H25*1000/F25,"")</f>
        <v/>
      </c>
      <c r="V25" s="18"/>
      <c r="W25" s="18" t="s">
        <v>787</v>
      </c>
      <c r="X25" s="18" t="s">
        <v>788</v>
      </c>
      <c r="Y25" s="18" t="s">
        <v>789</v>
      </c>
      <c r="Z25" s="18" t="s">
        <v>20</v>
      </c>
      <c r="AA25" s="18"/>
    </row>
    <row r="26" customFormat="false" ht="23.85" hidden="false" customHeight="false" outlineLevel="0" collapsed="false">
      <c r="A26" s="18" t="s">
        <v>876</v>
      </c>
      <c r="B26" s="18" t="n">
        <v>45</v>
      </c>
      <c r="C26" s="18" t="s">
        <v>254</v>
      </c>
      <c r="D26" s="18" t="s">
        <v>874</v>
      </c>
      <c r="E26" s="18" t="s">
        <v>785</v>
      </c>
      <c r="F26" s="22" t="n">
        <v>7810</v>
      </c>
      <c r="G26" s="23" t="n">
        <f aca="false">IF(ISNUMBER(F26),F26/1000,"")</f>
        <v>7.81</v>
      </c>
      <c r="H26" s="24"/>
      <c r="I26" s="25"/>
      <c r="J26" s="26" t="str">
        <f aca="false">IF(AND(ISNUMBER(H26),ISNUMBER(I26)),H26/(2*(1+I26)),"")</f>
        <v/>
      </c>
      <c r="K26" s="27"/>
      <c r="L26" s="27"/>
      <c r="M26" s="27"/>
      <c r="N26" s="27"/>
      <c r="O26" s="27" t="s">
        <v>877</v>
      </c>
      <c r="P26" s="27"/>
      <c r="Q26" s="27"/>
      <c r="R26" s="28"/>
      <c r="S26" s="19" t="str">
        <f aca="false">IF(ISNUMBER(L26),"UTS",IF(ISNUMBER(K26),"YS",IF(ISNUMBER(M26),"Flexural","—")))</f>
        <v>—</v>
      </c>
      <c r="T26" s="26" t="str">
        <f aca="false">IF(AND(ISNUMBER(F26),OR(ISNUMBER(L26),ISNUMBER(K26),ISNUMBER(M26))),IF(ISNUMBER(L26),L26,IF(ISNUMBER(K26),K26,M26))*1000/F26,"")</f>
        <v/>
      </c>
      <c r="U26" s="29" t="str">
        <f aca="false">IF(AND(ISNUMBER(F26),ISNUMBER(H26)),H26*1000/F26,"")</f>
        <v/>
      </c>
      <c r="V26" s="18"/>
      <c r="W26" s="18" t="s">
        <v>787</v>
      </c>
      <c r="X26" s="18" t="s">
        <v>788</v>
      </c>
      <c r="Y26" s="18" t="s">
        <v>789</v>
      </c>
      <c r="Z26" s="18" t="s">
        <v>20</v>
      </c>
      <c r="AA26" s="18"/>
    </row>
    <row r="27" customFormat="false" ht="23.85" hidden="false" customHeight="false" outlineLevel="0" collapsed="false">
      <c r="A27" s="18" t="s">
        <v>878</v>
      </c>
      <c r="B27" s="18" t="n">
        <v>46</v>
      </c>
      <c r="C27" s="18" t="s">
        <v>260</v>
      </c>
      <c r="D27" s="18" t="s">
        <v>874</v>
      </c>
      <c r="E27" s="18" t="s">
        <v>785</v>
      </c>
      <c r="F27" s="22" t="n">
        <v>7860</v>
      </c>
      <c r="G27" s="23" t="n">
        <f aca="false">IF(ISNUMBER(F27),F27/1000,"")</f>
        <v>7.86</v>
      </c>
      <c r="H27" s="24"/>
      <c r="I27" s="25"/>
      <c r="J27" s="26" t="str">
        <f aca="false">IF(AND(ISNUMBER(H27),ISNUMBER(I27)),H27/(2*(1+I27)),"")</f>
        <v/>
      </c>
      <c r="K27" s="27"/>
      <c r="L27" s="27"/>
      <c r="M27" s="27"/>
      <c r="N27" s="27"/>
      <c r="O27" s="27" t="s">
        <v>877</v>
      </c>
      <c r="P27" s="27"/>
      <c r="Q27" s="27"/>
      <c r="R27" s="28"/>
      <c r="S27" s="19" t="str">
        <f aca="false">IF(ISNUMBER(L27),"UTS",IF(ISNUMBER(K27),"YS",IF(ISNUMBER(M27),"Flexural","—")))</f>
        <v>—</v>
      </c>
      <c r="T27" s="26" t="str">
        <f aca="false">IF(AND(ISNUMBER(F27),OR(ISNUMBER(L27),ISNUMBER(K27),ISNUMBER(M27))),IF(ISNUMBER(L27),L27,IF(ISNUMBER(K27),K27,M27))*1000/F27,"")</f>
        <v/>
      </c>
      <c r="U27" s="29" t="str">
        <f aca="false">IF(AND(ISNUMBER(F27),ISNUMBER(H27)),H27*1000/F27,"")</f>
        <v/>
      </c>
      <c r="V27" s="18"/>
      <c r="W27" s="18" t="s">
        <v>787</v>
      </c>
      <c r="X27" s="18" t="s">
        <v>788</v>
      </c>
      <c r="Y27" s="18" t="s">
        <v>789</v>
      </c>
      <c r="Z27" s="18" t="s">
        <v>20</v>
      </c>
      <c r="AA27" s="18"/>
    </row>
    <row r="28" customFormat="false" ht="23.85" hidden="false" customHeight="false" outlineLevel="0" collapsed="false">
      <c r="A28" s="18" t="s">
        <v>879</v>
      </c>
      <c r="B28" s="18" t="n">
        <v>56</v>
      </c>
      <c r="C28" s="18" t="s">
        <v>300</v>
      </c>
      <c r="D28" s="18" t="s">
        <v>880</v>
      </c>
      <c r="E28" s="18" t="s">
        <v>798</v>
      </c>
      <c r="F28" s="22" t="n">
        <v>7100</v>
      </c>
      <c r="G28" s="23" t="n">
        <f aca="false">IF(ISNUMBER(F28),F28/1000,"")</f>
        <v>7.1</v>
      </c>
      <c r="H28" s="24" t="n">
        <v>85</v>
      </c>
      <c r="I28" s="25" t="n">
        <v>0.26</v>
      </c>
      <c r="J28" s="26" t="n">
        <f aca="false">IF(AND(ISNUMBER(H28),ISNUMBER(I28)),H28/(2*(1+I28)),"")</f>
        <v>33.7301587301587</v>
      </c>
      <c r="K28" s="27"/>
      <c r="L28" s="27" t="n">
        <v>150</v>
      </c>
      <c r="M28" s="27"/>
      <c r="N28" s="27"/>
      <c r="O28" s="27" t="s">
        <v>881</v>
      </c>
      <c r="P28" s="27"/>
      <c r="Q28" s="27"/>
      <c r="R28" s="28"/>
      <c r="S28" s="19" t="str">
        <f aca="false">IF(ISNUMBER(L28),"UTS",IF(ISNUMBER(K28),"YS",IF(ISNUMBER(M28),"Flexural","—")))</f>
        <v>UTS</v>
      </c>
      <c r="T28" s="26" t="n">
        <f aca="false">IF(AND(ISNUMBER(F28),OR(ISNUMBER(L28),ISNUMBER(K28),ISNUMBER(M28))),IF(ISNUMBER(L28),L28,IF(ISNUMBER(K28),K28,M28))*1000/F28,"")</f>
        <v>21.1267605633803</v>
      </c>
      <c r="U28" s="29" t="n">
        <f aca="false">IF(AND(ISNUMBER(F28),ISNUMBER(H28)),H28*1000/F28,"")</f>
        <v>11.9718309859155</v>
      </c>
      <c r="V28" s="18" t="s">
        <v>882</v>
      </c>
      <c r="W28" s="18" t="s">
        <v>787</v>
      </c>
      <c r="X28" s="18" t="s">
        <v>801</v>
      </c>
      <c r="Y28" s="18" t="s">
        <v>825</v>
      </c>
      <c r="Z28" s="18" t="s">
        <v>22</v>
      </c>
      <c r="AA28" s="18" t="s">
        <v>883</v>
      </c>
    </row>
    <row r="29" customFormat="false" ht="23.85" hidden="false" customHeight="false" outlineLevel="0" collapsed="false">
      <c r="A29" s="18" t="s">
        <v>884</v>
      </c>
      <c r="B29" s="18" t="n">
        <v>57</v>
      </c>
      <c r="C29" s="18" t="s">
        <v>307</v>
      </c>
      <c r="D29" s="18" t="s">
        <v>880</v>
      </c>
      <c r="E29" s="18" t="s">
        <v>798</v>
      </c>
      <c r="F29" s="22" t="n">
        <v>7100</v>
      </c>
      <c r="G29" s="23" t="n">
        <f aca="false">IF(ISNUMBER(F29),F29/1000,"")</f>
        <v>7.1</v>
      </c>
      <c r="H29" s="24" t="n">
        <v>100</v>
      </c>
      <c r="I29" s="25" t="n">
        <v>0.26</v>
      </c>
      <c r="J29" s="26" t="n">
        <f aca="false">IF(AND(ISNUMBER(H29),ISNUMBER(I29)),H29/(2*(1+I29)),"")</f>
        <v>39.6825396825397</v>
      </c>
      <c r="K29" s="27"/>
      <c r="L29" s="27" t="n">
        <v>200</v>
      </c>
      <c r="M29" s="27"/>
      <c r="N29" s="27"/>
      <c r="O29" s="27" t="s">
        <v>885</v>
      </c>
      <c r="P29" s="27"/>
      <c r="Q29" s="27"/>
      <c r="R29" s="28"/>
      <c r="S29" s="19" t="str">
        <f aca="false">IF(ISNUMBER(L29),"UTS",IF(ISNUMBER(K29),"YS",IF(ISNUMBER(M29),"Flexural","—")))</f>
        <v>UTS</v>
      </c>
      <c r="T29" s="26" t="n">
        <f aca="false">IF(AND(ISNUMBER(F29),OR(ISNUMBER(L29),ISNUMBER(K29),ISNUMBER(M29))),IF(ISNUMBER(L29),L29,IF(ISNUMBER(K29),K29,M29))*1000/F29,"")</f>
        <v>28.169014084507</v>
      </c>
      <c r="U29" s="29" t="n">
        <f aca="false">IF(AND(ISNUMBER(F29),ISNUMBER(H29)),H29*1000/F29,"")</f>
        <v>14.0845070422535</v>
      </c>
      <c r="V29" s="18" t="s">
        <v>886</v>
      </c>
      <c r="W29" s="18" t="s">
        <v>787</v>
      </c>
      <c r="X29" s="18" t="s">
        <v>801</v>
      </c>
      <c r="Y29" s="18" t="s">
        <v>825</v>
      </c>
      <c r="Z29" s="18" t="s">
        <v>22</v>
      </c>
      <c r="AA29" s="18" t="s">
        <v>887</v>
      </c>
    </row>
    <row r="30" customFormat="false" ht="23.85" hidden="false" customHeight="false" outlineLevel="0" collapsed="false">
      <c r="A30" s="18" t="s">
        <v>888</v>
      </c>
      <c r="B30" s="18" t="n">
        <v>58</v>
      </c>
      <c r="C30" s="18" t="s">
        <v>309</v>
      </c>
      <c r="D30" s="18" t="s">
        <v>880</v>
      </c>
      <c r="E30" s="18" t="s">
        <v>798</v>
      </c>
      <c r="F30" s="22" t="n">
        <v>7100</v>
      </c>
      <c r="G30" s="23" t="n">
        <f aca="false">IF(ISNUMBER(F30),F30/1000,"")</f>
        <v>7.1</v>
      </c>
      <c r="H30" s="24" t="n">
        <v>115</v>
      </c>
      <c r="I30" s="25" t="n">
        <v>0.26</v>
      </c>
      <c r="J30" s="26" t="n">
        <f aca="false">IF(AND(ISNUMBER(H30),ISNUMBER(I30)),H30/(2*(1+I30)),"")</f>
        <v>45.6349206349206</v>
      </c>
      <c r="K30" s="27"/>
      <c r="L30" s="27" t="n">
        <v>260</v>
      </c>
      <c r="M30" s="27"/>
      <c r="N30" s="27"/>
      <c r="O30" s="27" t="s">
        <v>881</v>
      </c>
      <c r="P30" s="27"/>
      <c r="Q30" s="27"/>
      <c r="R30" s="28"/>
      <c r="S30" s="19" t="str">
        <f aca="false">IF(ISNUMBER(L30),"UTS",IF(ISNUMBER(K30),"YS",IF(ISNUMBER(M30),"Flexural","—")))</f>
        <v>UTS</v>
      </c>
      <c r="T30" s="26" t="n">
        <f aca="false">IF(AND(ISNUMBER(F30),OR(ISNUMBER(L30),ISNUMBER(K30),ISNUMBER(M30))),IF(ISNUMBER(L30),L30,IF(ISNUMBER(K30),K30,M30))*1000/F30,"")</f>
        <v>36.6197183098592</v>
      </c>
      <c r="U30" s="29" t="n">
        <f aca="false">IF(AND(ISNUMBER(F30),ISNUMBER(H30)),H30*1000/F30,"")</f>
        <v>16.1971830985915</v>
      </c>
      <c r="V30" s="18"/>
      <c r="W30" s="18" t="s">
        <v>787</v>
      </c>
      <c r="X30" s="18" t="s">
        <v>801</v>
      </c>
      <c r="Y30" s="18" t="s">
        <v>825</v>
      </c>
      <c r="Z30" s="18" t="s">
        <v>22</v>
      </c>
      <c r="AA30" s="18" t="s">
        <v>887</v>
      </c>
    </row>
    <row r="31" customFormat="false" ht="23.85" hidden="false" customHeight="false" outlineLevel="0" collapsed="false">
      <c r="A31" s="18" t="s">
        <v>889</v>
      </c>
      <c r="B31" s="18" t="n">
        <v>59</v>
      </c>
      <c r="C31" s="18" t="s">
        <v>311</v>
      </c>
      <c r="D31" s="18" t="s">
        <v>890</v>
      </c>
      <c r="E31" s="18" t="s">
        <v>798</v>
      </c>
      <c r="F31" s="22" t="n">
        <v>7100</v>
      </c>
      <c r="G31" s="23" t="n">
        <f aca="false">IF(ISNUMBER(F31),F31/1000,"")</f>
        <v>7.1</v>
      </c>
      <c r="H31" s="24" t="n">
        <v>100</v>
      </c>
      <c r="I31" s="25" t="n">
        <v>0.26</v>
      </c>
      <c r="J31" s="26" t="n">
        <f aca="false">IF(AND(ISNUMBER(H31),ISNUMBER(I31)),H31/(2*(1+I31)),"")</f>
        <v>39.6825396825397</v>
      </c>
      <c r="K31" s="27"/>
      <c r="L31" s="27" t="n">
        <v>200</v>
      </c>
      <c r="M31" s="27"/>
      <c r="N31" s="27"/>
      <c r="O31" s="27" t="s">
        <v>891</v>
      </c>
      <c r="P31" s="27"/>
      <c r="Q31" s="27"/>
      <c r="R31" s="28"/>
      <c r="S31" s="19" t="str">
        <f aca="false">IF(ISNUMBER(L31),"UTS",IF(ISNUMBER(K31),"YS",IF(ISNUMBER(M31),"Flexural","—")))</f>
        <v>UTS</v>
      </c>
      <c r="T31" s="26" t="n">
        <f aca="false">IF(AND(ISNUMBER(F31),OR(ISNUMBER(L31),ISNUMBER(K31),ISNUMBER(M31))),IF(ISNUMBER(L31),L31,IF(ISNUMBER(K31),K31,M31))*1000/F31,"")</f>
        <v>28.169014084507</v>
      </c>
      <c r="U31" s="29" t="n">
        <f aca="false">IF(AND(ISNUMBER(F31),ISNUMBER(H31)),H31*1000/F31,"")</f>
        <v>14.0845070422535</v>
      </c>
      <c r="V31" s="18"/>
      <c r="W31" s="18" t="s">
        <v>787</v>
      </c>
      <c r="X31" s="18" t="s">
        <v>801</v>
      </c>
      <c r="Y31" s="18" t="s">
        <v>825</v>
      </c>
      <c r="Z31" s="18" t="s">
        <v>22</v>
      </c>
      <c r="AA31" s="18" t="s">
        <v>892</v>
      </c>
    </row>
    <row r="32" customFormat="false" ht="23.85" hidden="false" customHeight="false" outlineLevel="0" collapsed="false">
      <c r="A32" s="18" t="s">
        <v>893</v>
      </c>
      <c r="B32" s="18" t="n">
        <v>60</v>
      </c>
      <c r="C32" s="18" t="s">
        <v>314</v>
      </c>
      <c r="D32" s="18" t="s">
        <v>890</v>
      </c>
      <c r="E32" s="18" t="s">
        <v>798</v>
      </c>
      <c r="F32" s="22" t="n">
        <v>7100</v>
      </c>
      <c r="G32" s="23" t="n">
        <f aca="false">IF(ISNUMBER(F32),F32/1000,"")</f>
        <v>7.1</v>
      </c>
      <c r="H32" s="24" t="n">
        <v>115</v>
      </c>
      <c r="I32" s="25" t="n">
        <v>0.26</v>
      </c>
      <c r="J32" s="26" t="n">
        <f aca="false">IF(AND(ISNUMBER(H32),ISNUMBER(I32)),H32/(2*(1+I32)),"")</f>
        <v>45.6349206349206</v>
      </c>
      <c r="K32" s="27"/>
      <c r="L32" s="27" t="n">
        <v>250</v>
      </c>
      <c r="M32" s="27"/>
      <c r="N32" s="27"/>
      <c r="O32" s="27" t="s">
        <v>891</v>
      </c>
      <c r="P32" s="27"/>
      <c r="Q32" s="27"/>
      <c r="R32" s="28"/>
      <c r="S32" s="19" t="str">
        <f aca="false">IF(ISNUMBER(L32),"UTS",IF(ISNUMBER(K32),"YS",IF(ISNUMBER(M32),"Flexural","—")))</f>
        <v>UTS</v>
      </c>
      <c r="T32" s="26" t="n">
        <f aca="false">IF(AND(ISNUMBER(F32),OR(ISNUMBER(L32),ISNUMBER(K32),ISNUMBER(M32))),IF(ISNUMBER(L32),L32,IF(ISNUMBER(K32),K32,M32))*1000/F32,"")</f>
        <v>35.2112676056338</v>
      </c>
      <c r="U32" s="29" t="n">
        <f aca="false">IF(AND(ISNUMBER(F32),ISNUMBER(H32)),H32*1000/F32,"")</f>
        <v>16.1971830985915</v>
      </c>
      <c r="V32" s="18"/>
      <c r="W32" s="18" t="s">
        <v>787</v>
      </c>
      <c r="X32" s="18" t="s">
        <v>801</v>
      </c>
      <c r="Y32" s="18" t="s">
        <v>825</v>
      </c>
      <c r="Z32" s="18" t="s">
        <v>22</v>
      </c>
      <c r="AA32" s="18"/>
    </row>
    <row r="33" customFormat="false" ht="23.85" hidden="false" customHeight="false" outlineLevel="0" collapsed="false">
      <c r="A33" s="18" t="s">
        <v>894</v>
      </c>
      <c r="B33" s="18" t="n">
        <v>64</v>
      </c>
      <c r="C33" s="18" t="s">
        <v>327</v>
      </c>
      <c r="D33" s="18" t="s">
        <v>895</v>
      </c>
      <c r="E33" s="18" t="s">
        <v>798</v>
      </c>
      <c r="F33" s="22" t="n">
        <v>7100</v>
      </c>
      <c r="G33" s="23" t="n">
        <f aca="false">IF(ISNUMBER(F33),F33/1000,"")</f>
        <v>7.1</v>
      </c>
      <c r="H33" s="24" t="n">
        <v>100</v>
      </c>
      <c r="I33" s="25" t="n">
        <v>0.26</v>
      </c>
      <c r="J33" s="26" t="n">
        <f aca="false">IF(AND(ISNUMBER(H33),ISNUMBER(I33)),H33/(2*(1+I33)),"")</f>
        <v>39.6825396825397</v>
      </c>
      <c r="K33" s="27"/>
      <c r="L33" s="27" t="n">
        <v>207</v>
      </c>
      <c r="M33" s="27"/>
      <c r="N33" s="27"/>
      <c r="O33" s="27" t="s">
        <v>799</v>
      </c>
      <c r="P33" s="27"/>
      <c r="Q33" s="27"/>
      <c r="R33" s="28"/>
      <c r="S33" s="19" t="str">
        <f aca="false">IF(ISNUMBER(L33),"UTS",IF(ISNUMBER(K33),"YS",IF(ISNUMBER(M33),"Flexural","—")))</f>
        <v>UTS</v>
      </c>
      <c r="T33" s="26" t="n">
        <f aca="false">IF(AND(ISNUMBER(F33),OR(ISNUMBER(L33),ISNUMBER(K33),ISNUMBER(M33))),IF(ISNUMBER(L33),L33,IF(ISNUMBER(K33),K33,M33))*1000/F33,"")</f>
        <v>29.1549295774648</v>
      </c>
      <c r="U33" s="29" t="n">
        <f aca="false">IF(AND(ISNUMBER(F33),ISNUMBER(H33)),H33*1000/F33,"")</f>
        <v>14.0845070422535</v>
      </c>
      <c r="V33" s="18" t="s">
        <v>896</v>
      </c>
      <c r="W33" s="18" t="s">
        <v>787</v>
      </c>
      <c r="X33" s="18" t="s">
        <v>801</v>
      </c>
      <c r="Y33" s="18" t="s">
        <v>825</v>
      </c>
      <c r="Z33" s="18" t="s">
        <v>22</v>
      </c>
      <c r="AA33" s="18" t="s">
        <v>897</v>
      </c>
    </row>
    <row r="34" customFormat="false" ht="23.85" hidden="false" customHeight="false" outlineLevel="0" collapsed="false">
      <c r="A34" s="18" t="s">
        <v>898</v>
      </c>
      <c r="B34" s="18" t="n">
        <v>61</v>
      </c>
      <c r="C34" s="18" t="s">
        <v>316</v>
      </c>
      <c r="D34" s="18" t="s">
        <v>890</v>
      </c>
      <c r="E34" s="18" t="s">
        <v>798</v>
      </c>
      <c r="F34" s="22" t="n">
        <v>7100</v>
      </c>
      <c r="G34" s="23" t="n">
        <f aca="false">IF(ISNUMBER(F34),F34/1000,"")</f>
        <v>7.1</v>
      </c>
      <c r="H34" s="24" t="n">
        <v>169</v>
      </c>
      <c r="I34" s="25" t="n">
        <v>0.275</v>
      </c>
      <c r="J34" s="26" t="n">
        <f aca="false">IF(AND(ISNUMBER(H34),ISNUMBER(I34)),H34/(2*(1+I34)),"")</f>
        <v>66.2745098039216</v>
      </c>
      <c r="K34" s="27" t="n">
        <v>250</v>
      </c>
      <c r="L34" s="27" t="n">
        <v>400</v>
      </c>
      <c r="M34" s="27"/>
      <c r="N34" s="27" t="n">
        <v>15</v>
      </c>
      <c r="O34" s="27" t="s">
        <v>899</v>
      </c>
      <c r="P34" s="27"/>
      <c r="Q34" s="27"/>
      <c r="R34" s="28"/>
      <c r="S34" s="19" t="str">
        <f aca="false">IF(ISNUMBER(L34),"UTS",IF(ISNUMBER(K34),"YS",IF(ISNUMBER(M34),"Flexural","—")))</f>
        <v>UTS</v>
      </c>
      <c r="T34" s="26" t="n">
        <f aca="false">IF(AND(ISNUMBER(F34),OR(ISNUMBER(L34),ISNUMBER(K34),ISNUMBER(M34))),IF(ISNUMBER(L34),L34,IF(ISNUMBER(K34),K34,M34))*1000/F34,"")</f>
        <v>56.3380281690141</v>
      </c>
      <c r="U34" s="29" t="n">
        <f aca="false">IF(AND(ISNUMBER(F34),ISNUMBER(H34)),H34*1000/F34,"")</f>
        <v>23.8028169014085</v>
      </c>
      <c r="V34" s="18"/>
      <c r="W34" s="18" t="s">
        <v>787</v>
      </c>
      <c r="X34" s="18" t="s">
        <v>801</v>
      </c>
      <c r="Y34" s="18" t="s">
        <v>789</v>
      </c>
      <c r="Z34" s="18" t="s">
        <v>20</v>
      </c>
      <c r="AA34" s="18" t="s">
        <v>900</v>
      </c>
    </row>
    <row r="35" customFormat="false" ht="23.85" hidden="false" customHeight="false" outlineLevel="0" collapsed="false">
      <c r="A35" s="18" t="s">
        <v>901</v>
      </c>
      <c r="B35" s="18" t="n">
        <v>62</v>
      </c>
      <c r="C35" s="18" t="s">
        <v>322</v>
      </c>
      <c r="D35" s="18" t="s">
        <v>890</v>
      </c>
      <c r="E35" s="18" t="s">
        <v>798</v>
      </c>
      <c r="F35" s="22" t="n">
        <v>7100</v>
      </c>
      <c r="G35" s="23" t="n">
        <f aca="false">IF(ISNUMBER(F35),F35/1000,"")</f>
        <v>7.1</v>
      </c>
      <c r="H35" s="24" t="n">
        <v>169</v>
      </c>
      <c r="I35" s="25" t="n">
        <v>0.275</v>
      </c>
      <c r="J35" s="26" t="n">
        <f aca="false">IF(AND(ISNUMBER(H35),ISNUMBER(I35)),H35/(2*(1+I35)),"")</f>
        <v>66.2745098039216</v>
      </c>
      <c r="K35" s="27" t="n">
        <v>320</v>
      </c>
      <c r="L35" s="27" t="n">
        <v>500</v>
      </c>
      <c r="M35" s="27"/>
      <c r="N35" s="27" t="n">
        <v>7</v>
      </c>
      <c r="O35" s="27" t="s">
        <v>902</v>
      </c>
      <c r="P35" s="27"/>
      <c r="Q35" s="27"/>
      <c r="R35" s="28"/>
      <c r="S35" s="19" t="str">
        <f aca="false">IF(ISNUMBER(L35),"UTS",IF(ISNUMBER(K35),"YS",IF(ISNUMBER(M35),"Flexural","—")))</f>
        <v>UTS</v>
      </c>
      <c r="T35" s="26" t="n">
        <f aca="false">IF(AND(ISNUMBER(F35),OR(ISNUMBER(L35),ISNUMBER(K35),ISNUMBER(M35))),IF(ISNUMBER(L35),L35,IF(ISNUMBER(K35),K35,M35))*1000/F35,"")</f>
        <v>70.4225352112676</v>
      </c>
      <c r="U35" s="29" t="n">
        <f aca="false">IF(AND(ISNUMBER(F35),ISNUMBER(H35)),H35*1000/F35,"")</f>
        <v>23.8028169014085</v>
      </c>
      <c r="V35" s="18"/>
      <c r="W35" s="18" t="s">
        <v>787</v>
      </c>
      <c r="X35" s="18" t="s">
        <v>801</v>
      </c>
      <c r="Y35" s="18" t="s">
        <v>789</v>
      </c>
      <c r="Z35" s="18" t="s">
        <v>20</v>
      </c>
      <c r="AA35" s="18"/>
    </row>
    <row r="36" customFormat="false" ht="23.85" hidden="false" customHeight="false" outlineLevel="0" collapsed="false">
      <c r="A36" s="18" t="s">
        <v>903</v>
      </c>
      <c r="B36" s="18" t="n">
        <v>63</v>
      </c>
      <c r="C36" s="18" t="s">
        <v>324</v>
      </c>
      <c r="D36" s="18" t="s">
        <v>904</v>
      </c>
      <c r="E36" s="18" t="s">
        <v>798</v>
      </c>
      <c r="F36" s="22" t="n">
        <v>7100</v>
      </c>
      <c r="G36" s="23" t="n">
        <f aca="false">IF(ISNUMBER(F36),F36/1000,"")</f>
        <v>7.1</v>
      </c>
      <c r="H36" s="24" t="n">
        <v>169</v>
      </c>
      <c r="I36" s="25" t="n">
        <v>0.275</v>
      </c>
      <c r="J36" s="26" t="n">
        <f aca="false">IF(AND(ISNUMBER(H36),ISNUMBER(I36)),H36/(2*(1+I36)),"")</f>
        <v>66.2745098039216</v>
      </c>
      <c r="K36" s="27" t="n">
        <v>310</v>
      </c>
      <c r="L36" s="27" t="n">
        <v>448</v>
      </c>
      <c r="M36" s="27"/>
      <c r="N36" s="27" t="n">
        <v>12</v>
      </c>
      <c r="O36" s="27" t="s">
        <v>905</v>
      </c>
      <c r="P36" s="27"/>
      <c r="Q36" s="27"/>
      <c r="R36" s="28"/>
      <c r="S36" s="19" t="str">
        <f aca="false">IF(ISNUMBER(L36),"UTS",IF(ISNUMBER(K36),"YS",IF(ISNUMBER(M36),"Flexural","—")))</f>
        <v>UTS</v>
      </c>
      <c r="T36" s="26" t="n">
        <f aca="false">IF(AND(ISNUMBER(F36),OR(ISNUMBER(L36),ISNUMBER(K36),ISNUMBER(M36))),IF(ISNUMBER(L36),L36,IF(ISNUMBER(K36),K36,M36))*1000/F36,"")</f>
        <v>63.0985915492958</v>
      </c>
      <c r="U36" s="29" t="n">
        <f aca="false">IF(AND(ISNUMBER(F36),ISNUMBER(H36)),H36*1000/F36,"")</f>
        <v>23.8028169014085</v>
      </c>
      <c r="V36" s="18" t="s">
        <v>906</v>
      </c>
      <c r="W36" s="18" t="s">
        <v>787</v>
      </c>
      <c r="X36" s="18" t="s">
        <v>801</v>
      </c>
      <c r="Y36" s="18" t="s">
        <v>789</v>
      </c>
      <c r="Z36" s="18" t="s">
        <v>20</v>
      </c>
      <c r="AA36" s="18"/>
    </row>
    <row r="37" customFormat="false" ht="23.85" hidden="false" customHeight="false" outlineLevel="0" collapsed="false">
      <c r="A37" s="18" t="s">
        <v>907</v>
      </c>
      <c r="B37" s="18" t="n">
        <v>72</v>
      </c>
      <c r="C37" s="18" t="s">
        <v>908</v>
      </c>
      <c r="D37" s="18" t="s">
        <v>909</v>
      </c>
      <c r="E37" s="18" t="s">
        <v>785</v>
      </c>
      <c r="F37" s="22" t="n">
        <v>2700</v>
      </c>
      <c r="G37" s="23" t="n">
        <f aca="false">IF(ISNUMBER(F37),F37/1000,"")</f>
        <v>2.7</v>
      </c>
      <c r="H37" s="24" t="n">
        <v>68.9</v>
      </c>
      <c r="I37" s="25" t="n">
        <v>0.33</v>
      </c>
      <c r="J37" s="26" t="n">
        <f aca="false">IF(AND(ISNUMBER(H37),ISNUMBER(I37)),H37/(2*(1+I37)),"")</f>
        <v>25.9022556390977</v>
      </c>
      <c r="K37" s="27" t="n">
        <v>276</v>
      </c>
      <c r="L37" s="27" t="n">
        <v>310</v>
      </c>
      <c r="M37" s="27"/>
      <c r="N37" s="27" t="n">
        <v>12</v>
      </c>
      <c r="O37" s="27" t="s">
        <v>910</v>
      </c>
      <c r="P37" s="27" t="n">
        <v>167</v>
      </c>
      <c r="Q37" s="27" t="n">
        <v>23.6</v>
      </c>
      <c r="R37" s="28" t="n">
        <v>3.99E-008</v>
      </c>
      <c r="S37" s="19" t="str">
        <f aca="false">IF(ISNUMBER(L37),"UTS",IF(ISNUMBER(K37),"YS",IF(ISNUMBER(M37),"Flexural","—")))</f>
        <v>UTS</v>
      </c>
      <c r="T37" s="26" t="n">
        <f aca="false">IF(AND(ISNUMBER(F37),OR(ISNUMBER(L37),ISNUMBER(K37),ISNUMBER(M37))),IF(ISNUMBER(L37),L37,IF(ISNUMBER(K37),K37,M37))*1000/F37,"")</f>
        <v>114.814814814815</v>
      </c>
      <c r="U37" s="29" t="n">
        <f aca="false">IF(AND(ISNUMBER(F37),ISNUMBER(H37)),H37*1000/F37,"")</f>
        <v>25.5185185185185</v>
      </c>
      <c r="V37" s="18" t="s">
        <v>911</v>
      </c>
      <c r="W37" s="18" t="s">
        <v>787</v>
      </c>
      <c r="X37" s="18" t="s">
        <v>788</v>
      </c>
      <c r="Y37" s="18" t="s">
        <v>789</v>
      </c>
      <c r="Z37" s="18" t="s">
        <v>20</v>
      </c>
      <c r="AA37" s="18" t="s">
        <v>912</v>
      </c>
    </row>
    <row r="38" customFormat="false" ht="23.85" hidden="false" customHeight="false" outlineLevel="0" collapsed="false">
      <c r="A38" s="18" t="s">
        <v>913</v>
      </c>
      <c r="B38" s="18" t="n">
        <v>76</v>
      </c>
      <c r="C38" s="18" t="s">
        <v>914</v>
      </c>
      <c r="D38" s="18" t="s">
        <v>915</v>
      </c>
      <c r="E38" s="18" t="s">
        <v>785</v>
      </c>
      <c r="F38" s="22" t="n">
        <v>2810</v>
      </c>
      <c r="G38" s="23" t="n">
        <f aca="false">IF(ISNUMBER(F38),F38/1000,"")</f>
        <v>2.81</v>
      </c>
      <c r="H38" s="24" t="n">
        <v>71.7</v>
      </c>
      <c r="I38" s="25" t="n">
        <v>0.33</v>
      </c>
      <c r="J38" s="26" t="n">
        <f aca="false">IF(AND(ISNUMBER(H38),ISNUMBER(I38)),H38/(2*(1+I38)),"")</f>
        <v>26.9548872180451</v>
      </c>
      <c r="K38" s="27" t="n">
        <v>503</v>
      </c>
      <c r="L38" s="27" t="n">
        <v>572</v>
      </c>
      <c r="M38" s="27"/>
      <c r="N38" s="27" t="n">
        <v>11</v>
      </c>
      <c r="O38" s="27" t="s">
        <v>916</v>
      </c>
      <c r="P38" s="27" t="n">
        <v>130</v>
      </c>
      <c r="Q38" s="27" t="n">
        <v>23.4</v>
      </c>
      <c r="R38" s="28" t="n">
        <v>5.15E-008</v>
      </c>
      <c r="S38" s="19" t="str">
        <f aca="false">IF(ISNUMBER(L38),"UTS",IF(ISNUMBER(K38),"YS",IF(ISNUMBER(M38),"Flexural","—")))</f>
        <v>UTS</v>
      </c>
      <c r="T38" s="26" t="n">
        <f aca="false">IF(AND(ISNUMBER(F38),OR(ISNUMBER(L38),ISNUMBER(K38),ISNUMBER(M38))),IF(ISNUMBER(L38),L38,IF(ISNUMBER(K38),K38,M38))*1000/F38,"")</f>
        <v>203.55871886121</v>
      </c>
      <c r="U38" s="29" t="n">
        <f aca="false">IF(AND(ISNUMBER(F38),ISNUMBER(H38)),H38*1000/F38,"")</f>
        <v>25.5160142348754</v>
      </c>
      <c r="V38" s="18" t="s">
        <v>917</v>
      </c>
      <c r="W38" s="18" t="s">
        <v>787</v>
      </c>
      <c r="X38" s="18" t="s">
        <v>788</v>
      </c>
      <c r="Y38" s="18" t="s">
        <v>789</v>
      </c>
      <c r="Z38" s="18" t="s">
        <v>20</v>
      </c>
      <c r="AA38" s="18" t="s">
        <v>918</v>
      </c>
    </row>
    <row r="39" customFormat="false" ht="23.85" hidden="false" customHeight="false" outlineLevel="0" collapsed="false">
      <c r="A39" s="18" t="s">
        <v>919</v>
      </c>
      <c r="B39" s="18" t="n">
        <v>68</v>
      </c>
      <c r="C39" s="18" t="s">
        <v>920</v>
      </c>
      <c r="D39" s="18" t="s">
        <v>921</v>
      </c>
      <c r="E39" s="18" t="s">
        <v>785</v>
      </c>
      <c r="F39" s="22" t="n">
        <v>2780</v>
      </c>
      <c r="G39" s="23" t="n">
        <f aca="false">IF(ISNUMBER(F39),F39/1000,"")</f>
        <v>2.78</v>
      </c>
      <c r="H39" s="24" t="n">
        <v>73.1</v>
      </c>
      <c r="I39" s="25" t="n">
        <v>0.33</v>
      </c>
      <c r="J39" s="26" t="n">
        <f aca="false">IF(AND(ISNUMBER(H39),ISNUMBER(I39)),H39/(2*(1+I39)),"")</f>
        <v>27.4812030075188</v>
      </c>
      <c r="K39" s="27" t="n">
        <v>345</v>
      </c>
      <c r="L39" s="27" t="n">
        <v>483</v>
      </c>
      <c r="M39" s="27"/>
      <c r="N39" s="27" t="n">
        <v>18</v>
      </c>
      <c r="O39" s="27" t="s">
        <v>922</v>
      </c>
      <c r="P39" s="27" t="n">
        <v>121</v>
      </c>
      <c r="Q39" s="27" t="n">
        <v>23.2</v>
      </c>
      <c r="R39" s="28" t="n">
        <v>5.82E-008</v>
      </c>
      <c r="S39" s="19" t="str">
        <f aca="false">IF(ISNUMBER(L39),"UTS",IF(ISNUMBER(K39),"YS",IF(ISNUMBER(M39),"Flexural","—")))</f>
        <v>UTS</v>
      </c>
      <c r="T39" s="26" t="n">
        <f aca="false">IF(AND(ISNUMBER(F39),OR(ISNUMBER(L39),ISNUMBER(K39),ISNUMBER(M39))),IF(ISNUMBER(L39),L39,IF(ISNUMBER(K39),K39,M39))*1000/F39,"")</f>
        <v>173.741007194245</v>
      </c>
      <c r="U39" s="29" t="n">
        <f aca="false">IF(AND(ISNUMBER(F39),ISNUMBER(H39)),H39*1000/F39,"")</f>
        <v>26.294964028777</v>
      </c>
      <c r="V39" s="18" t="s">
        <v>923</v>
      </c>
      <c r="W39" s="18" t="s">
        <v>787</v>
      </c>
      <c r="X39" s="18" t="s">
        <v>788</v>
      </c>
      <c r="Y39" s="18" t="s">
        <v>789</v>
      </c>
      <c r="Z39" s="18" t="s">
        <v>20</v>
      </c>
      <c r="AA39" s="18"/>
    </row>
    <row r="40" customFormat="false" ht="23.85" hidden="false" customHeight="false" outlineLevel="0" collapsed="false">
      <c r="A40" s="18" t="s">
        <v>924</v>
      </c>
      <c r="B40" s="18" t="n">
        <v>67</v>
      </c>
      <c r="C40" s="18" t="s">
        <v>925</v>
      </c>
      <c r="D40" s="18" t="s">
        <v>926</v>
      </c>
      <c r="E40" s="18" t="s">
        <v>785</v>
      </c>
      <c r="F40" s="22" t="n">
        <v>2800</v>
      </c>
      <c r="G40" s="23" t="n">
        <f aca="false">IF(ISNUMBER(F40),F40/1000,"")</f>
        <v>2.8</v>
      </c>
      <c r="H40" s="24" t="n">
        <v>72.4</v>
      </c>
      <c r="I40" s="25" t="n">
        <v>0.33</v>
      </c>
      <c r="J40" s="26" t="n">
        <f aca="false">IF(AND(ISNUMBER(H40),ISNUMBER(I40)),H40/(2*(1+I40)),"")</f>
        <v>27.218045112782</v>
      </c>
      <c r="K40" s="27" t="n">
        <v>414</v>
      </c>
      <c r="L40" s="27" t="n">
        <v>483</v>
      </c>
      <c r="M40" s="27"/>
      <c r="N40" s="27" t="n">
        <v>13</v>
      </c>
      <c r="O40" s="27" t="s">
        <v>927</v>
      </c>
      <c r="P40" s="27" t="n">
        <v>154</v>
      </c>
      <c r="Q40" s="27" t="n">
        <v>23</v>
      </c>
      <c r="R40" s="28"/>
      <c r="S40" s="19" t="str">
        <f aca="false">IF(ISNUMBER(L40),"UTS",IF(ISNUMBER(K40),"YS",IF(ISNUMBER(M40),"Flexural","—")))</f>
        <v>UTS</v>
      </c>
      <c r="T40" s="26" t="n">
        <f aca="false">IF(AND(ISNUMBER(F40),OR(ISNUMBER(L40),ISNUMBER(K40),ISNUMBER(M40))),IF(ISNUMBER(L40),L40,IF(ISNUMBER(K40),K40,M40))*1000/F40,"")</f>
        <v>172.5</v>
      </c>
      <c r="U40" s="29" t="n">
        <f aca="false">IF(AND(ISNUMBER(F40),ISNUMBER(H40)),H40*1000/F40,"")</f>
        <v>25.8571428571429</v>
      </c>
      <c r="V40" s="18"/>
      <c r="W40" s="18" t="s">
        <v>787</v>
      </c>
      <c r="X40" s="18" t="s">
        <v>788</v>
      </c>
      <c r="Y40" s="18" t="s">
        <v>789</v>
      </c>
      <c r="Z40" s="18" t="s">
        <v>20</v>
      </c>
      <c r="AA40" s="18"/>
    </row>
    <row r="41" customFormat="false" ht="23.85" hidden="false" customHeight="false" outlineLevel="0" collapsed="false">
      <c r="A41" s="18" t="s">
        <v>928</v>
      </c>
      <c r="B41" s="18" t="n">
        <v>70</v>
      </c>
      <c r="C41" s="18" t="s">
        <v>929</v>
      </c>
      <c r="D41" s="18" t="s">
        <v>921</v>
      </c>
      <c r="E41" s="18" t="s">
        <v>785</v>
      </c>
      <c r="F41" s="22" t="n">
        <v>2680</v>
      </c>
      <c r="G41" s="23" t="n">
        <f aca="false">IF(ISNUMBER(F41),F41/1000,"")</f>
        <v>2.68</v>
      </c>
      <c r="H41" s="24" t="n">
        <v>70.3</v>
      </c>
      <c r="I41" s="25" t="n">
        <v>0.33</v>
      </c>
      <c r="J41" s="26" t="n">
        <f aca="false">IF(AND(ISNUMBER(H41),ISNUMBER(I41)),H41/(2*(1+I41)),"")</f>
        <v>26.4285714285714</v>
      </c>
      <c r="K41" s="27" t="n">
        <v>193</v>
      </c>
      <c r="L41" s="27" t="n">
        <v>228</v>
      </c>
      <c r="M41" s="27"/>
      <c r="N41" s="27" t="n">
        <v>12</v>
      </c>
      <c r="O41" s="27" t="s">
        <v>930</v>
      </c>
      <c r="P41" s="27" t="n">
        <v>138</v>
      </c>
      <c r="Q41" s="27" t="n">
        <v>23.8</v>
      </c>
      <c r="R41" s="28" t="n">
        <v>4.95E-008</v>
      </c>
      <c r="S41" s="19" t="str">
        <f aca="false">IF(ISNUMBER(L41),"UTS",IF(ISNUMBER(K41),"YS",IF(ISNUMBER(M41),"Flexural","—")))</f>
        <v>UTS</v>
      </c>
      <c r="T41" s="26" t="n">
        <f aca="false">IF(AND(ISNUMBER(F41),OR(ISNUMBER(L41),ISNUMBER(K41),ISNUMBER(M41))),IF(ISNUMBER(L41),L41,IF(ISNUMBER(K41),K41,M41))*1000/F41,"")</f>
        <v>85.0746268656717</v>
      </c>
      <c r="U41" s="29" t="n">
        <f aca="false">IF(AND(ISNUMBER(F41),ISNUMBER(H41)),H41*1000/F41,"")</f>
        <v>26.2313432835821</v>
      </c>
      <c r="V41" s="18" t="s">
        <v>931</v>
      </c>
      <c r="W41" s="18" t="s">
        <v>787</v>
      </c>
      <c r="X41" s="18" t="s">
        <v>788</v>
      </c>
      <c r="Y41" s="18" t="s">
        <v>789</v>
      </c>
      <c r="Z41" s="18" t="s">
        <v>20</v>
      </c>
      <c r="AA41" s="18"/>
    </row>
    <row r="42" customFormat="false" ht="23.85" hidden="false" customHeight="false" outlineLevel="0" collapsed="false">
      <c r="A42" s="18" t="s">
        <v>932</v>
      </c>
      <c r="B42" s="18" t="n">
        <v>71</v>
      </c>
      <c r="C42" s="18" t="s">
        <v>933</v>
      </c>
      <c r="D42" s="18" t="s">
        <v>934</v>
      </c>
      <c r="E42" s="18" t="s">
        <v>798</v>
      </c>
      <c r="F42" s="22" t="n">
        <v>2660</v>
      </c>
      <c r="G42" s="23" t="n">
        <f aca="false">IF(ISNUMBER(F42),F42/1000,"")</f>
        <v>2.66</v>
      </c>
      <c r="H42" s="24" t="n">
        <v>71</v>
      </c>
      <c r="I42" s="25" t="n">
        <v>0.33</v>
      </c>
      <c r="J42" s="26" t="n">
        <f aca="false">IF(AND(ISNUMBER(H42),ISNUMBER(I42)),H42/(2*(1+I42)),"")</f>
        <v>26.6917293233083</v>
      </c>
      <c r="K42" s="27" t="n">
        <v>125</v>
      </c>
      <c r="L42" s="27" t="n">
        <v>275</v>
      </c>
      <c r="M42" s="27"/>
      <c r="N42" s="27" t="n">
        <v>15</v>
      </c>
      <c r="O42" s="27" t="s">
        <v>935</v>
      </c>
      <c r="P42" s="27" t="n">
        <v>117</v>
      </c>
      <c r="Q42" s="27" t="n">
        <v>23.8</v>
      </c>
      <c r="R42" s="28" t="n">
        <v>5.9E-008</v>
      </c>
      <c r="S42" s="19" t="str">
        <f aca="false">IF(ISNUMBER(L42),"UTS",IF(ISNUMBER(K42),"YS",IF(ISNUMBER(M42),"Flexural","—")))</f>
        <v>UTS</v>
      </c>
      <c r="T42" s="26" t="n">
        <f aca="false">IF(AND(ISNUMBER(F42),OR(ISNUMBER(L42),ISNUMBER(K42),ISNUMBER(M42))),IF(ISNUMBER(L42),L42,IF(ISNUMBER(K42),K42,M42))*1000/F42,"")</f>
        <v>103.383458646617</v>
      </c>
      <c r="U42" s="29" t="n">
        <f aca="false">IF(AND(ISNUMBER(F42),ISNUMBER(H42)),H42*1000/F42,"")</f>
        <v>26.6917293233083</v>
      </c>
      <c r="V42" s="18" t="s">
        <v>936</v>
      </c>
      <c r="W42" s="18" t="s">
        <v>787</v>
      </c>
      <c r="X42" s="18" t="s">
        <v>801</v>
      </c>
      <c r="Y42" s="18" t="s">
        <v>789</v>
      </c>
      <c r="Z42" s="18" t="s">
        <v>20</v>
      </c>
      <c r="AA42" s="18" t="s">
        <v>937</v>
      </c>
    </row>
    <row r="43" customFormat="false" ht="23.85" hidden="false" customHeight="false" outlineLevel="0" collapsed="false">
      <c r="A43" s="18" t="s">
        <v>938</v>
      </c>
      <c r="B43" s="18" t="n">
        <v>69</v>
      </c>
      <c r="C43" s="18" t="s">
        <v>939</v>
      </c>
      <c r="D43" s="18" t="s">
        <v>921</v>
      </c>
      <c r="E43" s="18" t="s">
        <v>785</v>
      </c>
      <c r="F43" s="22" t="n">
        <v>2730</v>
      </c>
      <c r="G43" s="23" t="n">
        <f aca="false">IF(ISNUMBER(F43),F43/1000,"")</f>
        <v>2.73</v>
      </c>
      <c r="H43" s="24" t="n">
        <v>68.9</v>
      </c>
      <c r="I43" s="25" t="n">
        <v>0.33</v>
      </c>
      <c r="J43" s="26" t="n">
        <f aca="false">IF(AND(ISNUMBER(H43),ISNUMBER(I43)),H43/(2*(1+I43)),"")</f>
        <v>25.9022556390977</v>
      </c>
      <c r="K43" s="27" t="n">
        <v>145</v>
      </c>
      <c r="L43" s="27" t="n">
        <v>150</v>
      </c>
      <c r="M43" s="27"/>
      <c r="N43" s="27" t="n">
        <v>8</v>
      </c>
      <c r="O43" s="27" t="s">
        <v>940</v>
      </c>
      <c r="P43" s="27" t="n">
        <v>159</v>
      </c>
      <c r="Q43" s="27" t="n">
        <v>23.2</v>
      </c>
      <c r="R43" s="28"/>
      <c r="S43" s="19" t="str">
        <f aca="false">IF(ISNUMBER(L43),"UTS",IF(ISNUMBER(K43),"YS",IF(ISNUMBER(M43),"Flexural","—")))</f>
        <v>UTS</v>
      </c>
      <c r="T43" s="26" t="n">
        <f aca="false">IF(AND(ISNUMBER(F43),OR(ISNUMBER(L43),ISNUMBER(K43),ISNUMBER(M43))),IF(ISNUMBER(L43),L43,IF(ISNUMBER(K43),K43,M43))*1000/F43,"")</f>
        <v>54.9450549450549</v>
      </c>
      <c r="U43" s="29" t="n">
        <f aca="false">IF(AND(ISNUMBER(F43),ISNUMBER(H43)),H43*1000/F43,"")</f>
        <v>25.2380952380952</v>
      </c>
      <c r="V43" s="18"/>
      <c r="W43" s="18" t="s">
        <v>787</v>
      </c>
      <c r="X43" s="18" t="s">
        <v>788</v>
      </c>
      <c r="Y43" s="18" t="s">
        <v>789</v>
      </c>
      <c r="Z43" s="18" t="s">
        <v>20</v>
      </c>
      <c r="AA43" s="18"/>
    </row>
    <row r="44" customFormat="false" ht="23.85" hidden="false" customHeight="false" outlineLevel="0" collapsed="false">
      <c r="A44" s="18" t="s">
        <v>941</v>
      </c>
      <c r="B44" s="18" t="n">
        <v>74</v>
      </c>
      <c r="C44" s="18" t="s">
        <v>942</v>
      </c>
      <c r="D44" s="18" t="s">
        <v>943</v>
      </c>
      <c r="E44" s="18" t="s">
        <v>785</v>
      </c>
      <c r="F44" s="22" t="n">
        <v>2690</v>
      </c>
      <c r="G44" s="23" t="n">
        <f aca="false">IF(ISNUMBER(F44),F44/1000,"")</f>
        <v>2.69</v>
      </c>
      <c r="H44" s="24" t="n">
        <v>68.9</v>
      </c>
      <c r="I44" s="25" t="n">
        <v>0.33</v>
      </c>
      <c r="J44" s="26" t="n">
        <f aca="false">IF(AND(ISNUMBER(H44),ISNUMBER(I44)),H44/(2*(1+I44)),"")</f>
        <v>25.9022556390977</v>
      </c>
      <c r="K44" s="27" t="n">
        <v>214</v>
      </c>
      <c r="L44" s="27" t="n">
        <v>241</v>
      </c>
      <c r="M44" s="27"/>
      <c r="N44" s="27" t="n">
        <v>12</v>
      </c>
      <c r="O44" s="27" t="s">
        <v>944</v>
      </c>
      <c r="P44" s="27" t="n">
        <v>200</v>
      </c>
      <c r="Q44" s="27" t="n">
        <v>23.4</v>
      </c>
      <c r="R44" s="28"/>
      <c r="S44" s="19" t="str">
        <f aca="false">IF(ISNUMBER(L44),"UTS",IF(ISNUMBER(K44),"YS",IF(ISNUMBER(M44),"Flexural","—")))</f>
        <v>UTS</v>
      </c>
      <c r="T44" s="26" t="n">
        <f aca="false">IF(AND(ISNUMBER(F44),OR(ISNUMBER(L44),ISNUMBER(K44),ISNUMBER(M44))),IF(ISNUMBER(L44),L44,IF(ISNUMBER(K44),K44,M44))*1000/F44,"")</f>
        <v>89.5910780669145</v>
      </c>
      <c r="U44" s="29" t="n">
        <f aca="false">IF(AND(ISNUMBER(F44),ISNUMBER(H44)),H44*1000/F44,"")</f>
        <v>25.6133828996283</v>
      </c>
      <c r="V44" s="18"/>
      <c r="W44" s="18" t="s">
        <v>787</v>
      </c>
      <c r="X44" s="18" t="s">
        <v>788</v>
      </c>
      <c r="Y44" s="18" t="s">
        <v>789</v>
      </c>
      <c r="Z44" s="18" t="s">
        <v>20</v>
      </c>
      <c r="AA44" s="18"/>
    </row>
    <row r="45" customFormat="false" ht="23.85" hidden="false" customHeight="false" outlineLevel="0" collapsed="false">
      <c r="A45" s="18" t="s">
        <v>945</v>
      </c>
      <c r="B45" s="18" t="n">
        <v>77</v>
      </c>
      <c r="C45" s="18" t="s">
        <v>946</v>
      </c>
      <c r="D45" s="18" t="s">
        <v>947</v>
      </c>
      <c r="E45" s="18" t="s">
        <v>785</v>
      </c>
      <c r="F45" s="22" t="n">
        <v>2680</v>
      </c>
      <c r="G45" s="23" t="n">
        <f aca="false">IF(ISNUMBER(F45),F45/1000,"")</f>
        <v>2.68</v>
      </c>
      <c r="H45" s="24" t="n">
        <v>72.4</v>
      </c>
      <c r="I45" s="25" t="n">
        <v>0.33</v>
      </c>
      <c r="J45" s="26" t="n">
        <f aca="false">IF(AND(ISNUMBER(H45),ISNUMBER(I45)),H45/(2*(1+I45)),"")</f>
        <v>27.218045112782</v>
      </c>
      <c r="K45" s="27" t="n">
        <v>186</v>
      </c>
      <c r="L45" s="27" t="n">
        <v>262</v>
      </c>
      <c r="M45" s="27"/>
      <c r="N45" s="27" t="n">
        <v>5</v>
      </c>
      <c r="O45" s="27" t="s">
        <v>948</v>
      </c>
      <c r="P45" s="27" t="n">
        <v>151</v>
      </c>
      <c r="Q45" s="27" t="n">
        <v>21.5</v>
      </c>
      <c r="R45" s="28"/>
      <c r="S45" s="19" t="str">
        <f aca="false">IF(ISNUMBER(L45),"UTS",IF(ISNUMBER(K45),"YS",IF(ISNUMBER(M45),"Flexural","—")))</f>
        <v>UTS</v>
      </c>
      <c r="T45" s="26" t="n">
        <f aca="false">IF(AND(ISNUMBER(F45),OR(ISNUMBER(L45),ISNUMBER(K45),ISNUMBER(M45))),IF(ISNUMBER(L45),L45,IF(ISNUMBER(K45),K45,M45))*1000/F45,"")</f>
        <v>97.7611940298507</v>
      </c>
      <c r="U45" s="29" t="n">
        <f aca="false">IF(AND(ISNUMBER(F45),ISNUMBER(H45)),H45*1000/F45,"")</f>
        <v>27.0149253731343</v>
      </c>
      <c r="V45" s="18" t="s">
        <v>949</v>
      </c>
      <c r="W45" s="18" t="s">
        <v>787</v>
      </c>
      <c r="X45" s="18" t="s">
        <v>788</v>
      </c>
      <c r="Y45" s="18" t="s">
        <v>789</v>
      </c>
      <c r="Z45" s="18" t="s">
        <v>20</v>
      </c>
      <c r="AA45" s="18" t="s">
        <v>950</v>
      </c>
    </row>
    <row r="46" customFormat="false" ht="23.85" hidden="false" customHeight="false" outlineLevel="0" collapsed="false">
      <c r="A46" s="18" t="s">
        <v>951</v>
      </c>
      <c r="B46" s="18" t="n">
        <v>78</v>
      </c>
      <c r="C46" s="18" t="s">
        <v>952</v>
      </c>
      <c r="D46" s="18" t="s">
        <v>953</v>
      </c>
      <c r="E46" s="18" t="s">
        <v>785</v>
      </c>
      <c r="F46" s="22" t="n">
        <v>2710</v>
      </c>
      <c r="G46" s="23" t="n">
        <f aca="false">IF(ISNUMBER(F46),F46/1000,"")</f>
        <v>2.71</v>
      </c>
      <c r="H46" s="24" t="n">
        <v>71</v>
      </c>
      <c r="I46" s="25" t="n">
        <v>0.33</v>
      </c>
      <c r="J46" s="26" t="n">
        <f aca="false">IF(AND(ISNUMBER(H46),ISNUMBER(I46)),H46/(2*(1+I46)),"")</f>
        <v>26.6917293233083</v>
      </c>
      <c r="K46" s="27" t="n">
        <v>160</v>
      </c>
      <c r="L46" s="27" t="n">
        <v>324</v>
      </c>
      <c r="M46" s="27"/>
      <c r="N46" s="27" t="n">
        <v>3.5</v>
      </c>
      <c r="O46" s="27" t="s">
        <v>948</v>
      </c>
      <c r="P46" s="27" t="n">
        <v>96</v>
      </c>
      <c r="Q46" s="27" t="n">
        <v>21.8</v>
      </c>
      <c r="R46" s="28"/>
      <c r="S46" s="19" t="str">
        <f aca="false">IF(ISNUMBER(L46),"UTS",IF(ISNUMBER(K46),"YS",IF(ISNUMBER(M46),"Flexural","—")))</f>
        <v>UTS</v>
      </c>
      <c r="T46" s="26" t="n">
        <f aca="false">IF(AND(ISNUMBER(F46),OR(ISNUMBER(L46),ISNUMBER(K46),ISNUMBER(M46))),IF(ISNUMBER(L46),L46,IF(ISNUMBER(K46),K46,M46))*1000/F46,"")</f>
        <v>119.557195571956</v>
      </c>
      <c r="U46" s="29" t="n">
        <f aca="false">IF(AND(ISNUMBER(F46),ISNUMBER(H46)),H46*1000/F46,"")</f>
        <v>26.1992619926199</v>
      </c>
      <c r="V46" s="18"/>
      <c r="W46" s="18" t="s">
        <v>787</v>
      </c>
      <c r="X46" s="18" t="s">
        <v>788</v>
      </c>
      <c r="Y46" s="18" t="s">
        <v>789</v>
      </c>
      <c r="Z46" s="18" t="s">
        <v>20</v>
      </c>
      <c r="AA46" s="18"/>
    </row>
    <row r="47" customFormat="false" ht="23.85" hidden="false" customHeight="false" outlineLevel="0" collapsed="false">
      <c r="A47" s="18" t="s">
        <v>954</v>
      </c>
      <c r="B47" s="18" t="n">
        <v>80</v>
      </c>
      <c r="C47" s="18" t="s">
        <v>955</v>
      </c>
      <c r="D47" s="18" t="s">
        <v>956</v>
      </c>
      <c r="E47" s="18" t="s">
        <v>785</v>
      </c>
      <c r="F47" s="22" t="n">
        <v>8940</v>
      </c>
      <c r="G47" s="23" t="n">
        <f aca="false">IF(ISNUMBER(F47),F47/1000,"")</f>
        <v>8.94</v>
      </c>
      <c r="H47" s="24" t="n">
        <v>117</v>
      </c>
      <c r="I47" s="25" t="n">
        <v>0.34</v>
      </c>
      <c r="J47" s="26" t="n">
        <f aca="false">IF(AND(ISNUMBER(H47),ISNUMBER(I47)),H47/(2*(1+I47)),"")</f>
        <v>43.6567164179104</v>
      </c>
      <c r="K47" s="27" t="n">
        <v>69</v>
      </c>
      <c r="L47" s="27" t="n">
        <v>220</v>
      </c>
      <c r="M47" s="27"/>
      <c r="N47" s="27" t="n">
        <v>45</v>
      </c>
      <c r="O47" s="27" t="s">
        <v>799</v>
      </c>
      <c r="P47" s="27" t="n">
        <v>391</v>
      </c>
      <c r="Q47" s="27" t="n">
        <v>17</v>
      </c>
      <c r="R47" s="28" t="n">
        <v>1.72E-008</v>
      </c>
      <c r="S47" s="19" t="str">
        <f aca="false">IF(ISNUMBER(L47),"UTS",IF(ISNUMBER(K47),"YS",IF(ISNUMBER(M47),"Flexural","—")))</f>
        <v>UTS</v>
      </c>
      <c r="T47" s="26" t="n">
        <f aca="false">IF(AND(ISNUMBER(F47),OR(ISNUMBER(L47),ISNUMBER(K47),ISNUMBER(M47))),IF(ISNUMBER(L47),L47,IF(ISNUMBER(K47),K47,M47))*1000/F47,"")</f>
        <v>24.6085011185682</v>
      </c>
      <c r="U47" s="29" t="n">
        <f aca="false">IF(AND(ISNUMBER(F47),ISNUMBER(H47)),H47*1000/F47,"")</f>
        <v>13.0872483221477</v>
      </c>
      <c r="V47" s="18" t="s">
        <v>957</v>
      </c>
      <c r="W47" s="18" t="s">
        <v>787</v>
      </c>
      <c r="X47" s="18" t="s">
        <v>788</v>
      </c>
      <c r="Y47" s="18" t="s">
        <v>958</v>
      </c>
      <c r="Z47" s="18" t="s">
        <v>20</v>
      </c>
      <c r="AA47" s="18"/>
    </row>
    <row r="48" customFormat="false" ht="23.85" hidden="false" customHeight="false" outlineLevel="0" collapsed="false">
      <c r="A48" s="18" t="s">
        <v>959</v>
      </c>
      <c r="B48" s="18" t="n">
        <v>81</v>
      </c>
      <c r="C48" s="18" t="s">
        <v>960</v>
      </c>
      <c r="D48" s="18" t="s">
        <v>961</v>
      </c>
      <c r="E48" s="18" t="s">
        <v>785</v>
      </c>
      <c r="F48" s="22" t="n">
        <v>8530</v>
      </c>
      <c r="G48" s="23" t="n">
        <f aca="false">IF(ISNUMBER(F48),F48/1000,"")</f>
        <v>8.53</v>
      </c>
      <c r="H48" s="24" t="n">
        <v>110</v>
      </c>
      <c r="I48" s="25"/>
      <c r="J48" s="26" t="str">
        <f aca="false">IF(AND(ISNUMBER(H48),ISNUMBER(I48)),H48/(2*(1+I48)),"")</f>
        <v/>
      </c>
      <c r="K48" s="27" t="n">
        <v>105</v>
      </c>
      <c r="L48" s="27" t="n">
        <v>325</v>
      </c>
      <c r="M48" s="27"/>
      <c r="N48" s="27" t="n">
        <v>62</v>
      </c>
      <c r="O48" s="27" t="s">
        <v>799</v>
      </c>
      <c r="P48" s="27" t="n">
        <v>120</v>
      </c>
      <c r="Q48" s="27" t="n">
        <v>19.9</v>
      </c>
      <c r="R48" s="28" t="n">
        <v>6.2E-008</v>
      </c>
      <c r="S48" s="19" t="str">
        <f aca="false">IF(ISNUMBER(L48),"UTS",IF(ISNUMBER(K48),"YS",IF(ISNUMBER(M48),"Flexural","—")))</f>
        <v>UTS</v>
      </c>
      <c r="T48" s="26" t="n">
        <f aca="false">IF(AND(ISNUMBER(F48),OR(ISNUMBER(L48),ISNUMBER(K48),ISNUMBER(M48))),IF(ISNUMBER(L48),L48,IF(ISNUMBER(K48),K48,M48))*1000/F48,"")</f>
        <v>38.1008206330598</v>
      </c>
      <c r="U48" s="29" t="n">
        <f aca="false">IF(AND(ISNUMBER(F48),ISNUMBER(H48)),H48*1000/F48,"")</f>
        <v>12.8956623681125</v>
      </c>
      <c r="V48" s="18" t="s">
        <v>962</v>
      </c>
      <c r="W48" s="18" t="s">
        <v>787</v>
      </c>
      <c r="X48" s="18" t="s">
        <v>788</v>
      </c>
      <c r="Y48" s="18" t="s">
        <v>789</v>
      </c>
      <c r="Z48" s="18" t="s">
        <v>20</v>
      </c>
      <c r="AA48" s="18"/>
    </row>
    <row r="49" customFormat="false" ht="23.85" hidden="false" customHeight="false" outlineLevel="0" collapsed="false">
      <c r="A49" s="18" t="s">
        <v>963</v>
      </c>
      <c r="B49" s="18" t="n">
        <v>84</v>
      </c>
      <c r="C49" s="18" t="s">
        <v>964</v>
      </c>
      <c r="D49" s="18" t="s">
        <v>965</v>
      </c>
      <c r="E49" s="18" t="s">
        <v>798</v>
      </c>
      <c r="F49" s="22" t="n">
        <v>7600</v>
      </c>
      <c r="G49" s="23" t="n">
        <f aca="false">IF(ISNUMBER(F49),F49/1000,"")</f>
        <v>7.6</v>
      </c>
      <c r="H49" s="24" t="n">
        <v>103</v>
      </c>
      <c r="I49" s="25"/>
      <c r="J49" s="26" t="str">
        <f aca="false">IF(AND(ISNUMBER(H49),ISNUMBER(I49)),H49/(2*(1+I49)),"")</f>
        <v/>
      </c>
      <c r="K49" s="27" t="n">
        <v>124</v>
      </c>
      <c r="L49" s="27" t="n">
        <v>241</v>
      </c>
      <c r="M49" s="27"/>
      <c r="N49" s="27" t="n">
        <v>15</v>
      </c>
      <c r="O49" s="27" t="s">
        <v>966</v>
      </c>
      <c r="P49" s="27" t="n">
        <v>59</v>
      </c>
      <c r="Q49" s="27" t="n">
        <v>18</v>
      </c>
      <c r="R49" s="28"/>
      <c r="S49" s="19" t="str">
        <f aca="false">IF(ISNUMBER(L49),"UTS",IF(ISNUMBER(K49),"YS",IF(ISNUMBER(M49),"Flexural","—")))</f>
        <v>UTS</v>
      </c>
      <c r="T49" s="26" t="n">
        <f aca="false">IF(AND(ISNUMBER(F49),OR(ISNUMBER(L49),ISNUMBER(K49),ISNUMBER(M49))),IF(ISNUMBER(L49),L49,IF(ISNUMBER(K49),K49,M49))*1000/F49,"")</f>
        <v>31.7105263157895</v>
      </c>
      <c r="U49" s="29" t="n">
        <f aca="false">IF(AND(ISNUMBER(F49),ISNUMBER(H49)),H49*1000/F49,"")</f>
        <v>13.5526315789474</v>
      </c>
      <c r="V49" s="18"/>
      <c r="W49" s="18" t="s">
        <v>787</v>
      </c>
      <c r="X49" s="18" t="s">
        <v>801</v>
      </c>
      <c r="Y49" s="18" t="s">
        <v>789</v>
      </c>
      <c r="Z49" s="18" t="s">
        <v>20</v>
      </c>
      <c r="AA49" s="18"/>
    </row>
    <row r="50" customFormat="false" ht="23.85" hidden="false" customHeight="false" outlineLevel="0" collapsed="false">
      <c r="A50" s="18" t="s">
        <v>967</v>
      </c>
      <c r="B50" s="18" t="n">
        <v>85</v>
      </c>
      <c r="C50" s="18" t="s">
        <v>968</v>
      </c>
      <c r="D50" s="18" t="s">
        <v>969</v>
      </c>
      <c r="E50" s="18" t="s">
        <v>798</v>
      </c>
      <c r="F50" s="22" t="n">
        <v>7450</v>
      </c>
      <c r="G50" s="23" t="n">
        <f aca="false">IF(ISNUMBER(F50),F50/1000,"")</f>
        <v>7.45</v>
      </c>
      <c r="H50" s="24" t="n">
        <v>110</v>
      </c>
      <c r="I50" s="25"/>
      <c r="J50" s="26" t="str">
        <f aca="false">IF(AND(ISNUMBER(H50),ISNUMBER(I50)),H50/(2*(1+I50)),"")</f>
        <v/>
      </c>
      <c r="K50" s="27" t="n">
        <v>207</v>
      </c>
      <c r="L50" s="27" t="n">
        <v>517</v>
      </c>
      <c r="M50" s="27"/>
      <c r="N50" s="27" t="n">
        <v>12</v>
      </c>
      <c r="O50" s="27" t="s">
        <v>970</v>
      </c>
      <c r="P50" s="27" t="n">
        <v>59</v>
      </c>
      <c r="Q50" s="27" t="n">
        <v>16.2</v>
      </c>
      <c r="R50" s="28"/>
      <c r="S50" s="19" t="str">
        <f aca="false">IF(ISNUMBER(L50),"UTS",IF(ISNUMBER(K50),"YS",IF(ISNUMBER(M50),"Flexural","—")))</f>
        <v>UTS</v>
      </c>
      <c r="T50" s="26" t="n">
        <f aca="false">IF(AND(ISNUMBER(F50),OR(ISNUMBER(L50),ISNUMBER(K50),ISNUMBER(M50))),IF(ISNUMBER(L50),L50,IF(ISNUMBER(K50),K50,M50))*1000/F50,"")</f>
        <v>69.3959731543624</v>
      </c>
      <c r="U50" s="29" t="n">
        <f aca="false">IF(AND(ISNUMBER(F50),ISNUMBER(H50)),H50*1000/F50,"")</f>
        <v>14.7651006711409</v>
      </c>
      <c r="V50" s="18"/>
      <c r="W50" s="18" t="s">
        <v>787</v>
      </c>
      <c r="X50" s="18" t="s">
        <v>801</v>
      </c>
      <c r="Y50" s="18" t="s">
        <v>789</v>
      </c>
      <c r="Z50" s="18" t="s">
        <v>20</v>
      </c>
      <c r="AA50" s="18"/>
    </row>
    <row r="51" customFormat="false" ht="23.85" hidden="false" customHeight="false" outlineLevel="0" collapsed="false">
      <c r="A51" s="18" t="s">
        <v>971</v>
      </c>
      <c r="B51" s="18" t="n">
        <v>87</v>
      </c>
      <c r="C51" s="18" t="s">
        <v>972</v>
      </c>
      <c r="D51" s="18" t="s">
        <v>973</v>
      </c>
      <c r="E51" s="18" t="s">
        <v>798</v>
      </c>
      <c r="F51" s="22" t="n">
        <v>4510</v>
      </c>
      <c r="G51" s="23" t="n">
        <f aca="false">IF(ISNUMBER(F51),F51/1000,"")</f>
        <v>4.51</v>
      </c>
      <c r="H51" s="24" t="n">
        <v>105</v>
      </c>
      <c r="I51" s="25" t="n">
        <v>0.37</v>
      </c>
      <c r="J51" s="26" t="n">
        <f aca="false">IF(AND(ISNUMBER(H51),ISNUMBER(I51)),H51/(2*(1+I51)),"")</f>
        <v>38.3211678832117</v>
      </c>
      <c r="K51" s="27" t="n">
        <v>275</v>
      </c>
      <c r="L51" s="27" t="n">
        <v>345</v>
      </c>
      <c r="M51" s="27"/>
      <c r="N51" s="27" t="n">
        <v>20</v>
      </c>
      <c r="O51" s="27" t="s">
        <v>799</v>
      </c>
      <c r="P51" s="27" t="n">
        <v>16.4</v>
      </c>
      <c r="Q51" s="27" t="n">
        <v>8.6</v>
      </c>
      <c r="R51" s="28" t="n">
        <v>5.2E-007</v>
      </c>
      <c r="S51" s="19" t="str">
        <f aca="false">IF(ISNUMBER(L51),"UTS",IF(ISNUMBER(K51),"YS",IF(ISNUMBER(M51),"Flexural","—")))</f>
        <v>UTS</v>
      </c>
      <c r="T51" s="26" t="n">
        <f aca="false">IF(AND(ISNUMBER(F51),OR(ISNUMBER(L51),ISNUMBER(K51),ISNUMBER(M51))),IF(ISNUMBER(L51),L51,IF(ISNUMBER(K51),K51,M51))*1000/F51,"")</f>
        <v>76.4966740576497</v>
      </c>
      <c r="U51" s="29" t="n">
        <f aca="false">IF(AND(ISNUMBER(F51),ISNUMBER(H51)),H51*1000/F51,"")</f>
        <v>23.2815964523282</v>
      </c>
      <c r="V51" s="18"/>
      <c r="W51" s="18" t="s">
        <v>787</v>
      </c>
      <c r="X51" s="18" t="s">
        <v>801</v>
      </c>
      <c r="Y51" s="18" t="s">
        <v>789</v>
      </c>
      <c r="Z51" s="18" t="s">
        <v>20</v>
      </c>
      <c r="AA51" s="18" t="s">
        <v>974</v>
      </c>
    </row>
    <row r="52" customFormat="false" ht="23.85" hidden="false" customHeight="false" outlineLevel="0" collapsed="false">
      <c r="A52" s="18" t="s">
        <v>975</v>
      </c>
      <c r="B52" s="18" t="n">
        <v>88</v>
      </c>
      <c r="C52" s="18" t="s">
        <v>976</v>
      </c>
      <c r="D52" s="18" t="s">
        <v>977</v>
      </c>
      <c r="E52" s="18" t="s">
        <v>798</v>
      </c>
      <c r="F52" s="22" t="n">
        <v>4430</v>
      </c>
      <c r="G52" s="23" t="n">
        <f aca="false">IF(ISNUMBER(F52),F52/1000,"")</f>
        <v>4.43</v>
      </c>
      <c r="H52" s="24" t="n">
        <v>113.8</v>
      </c>
      <c r="I52" s="25" t="n">
        <v>0.342</v>
      </c>
      <c r="J52" s="26" t="n">
        <f aca="false">IF(AND(ISNUMBER(H52),ISNUMBER(I52)),H52/(2*(1+I52)),"")</f>
        <v>42.3994038748137</v>
      </c>
      <c r="K52" s="27" t="n">
        <v>825</v>
      </c>
      <c r="L52" s="27" t="n">
        <v>895</v>
      </c>
      <c r="M52" s="27"/>
      <c r="N52" s="27" t="n">
        <v>10</v>
      </c>
      <c r="O52" s="27" t="s">
        <v>978</v>
      </c>
      <c r="P52" s="27" t="n">
        <v>6.7</v>
      </c>
      <c r="Q52" s="27" t="n">
        <v>8.6</v>
      </c>
      <c r="R52" s="28" t="n">
        <v>1.7E-006</v>
      </c>
      <c r="S52" s="19" t="str">
        <f aca="false">IF(ISNUMBER(L52),"UTS",IF(ISNUMBER(K52),"YS",IF(ISNUMBER(M52),"Flexural","—")))</f>
        <v>UTS</v>
      </c>
      <c r="T52" s="26" t="n">
        <f aca="false">IF(AND(ISNUMBER(F52),OR(ISNUMBER(L52),ISNUMBER(K52),ISNUMBER(M52))),IF(ISNUMBER(L52),L52,IF(ISNUMBER(K52),K52,M52))*1000/F52,"")</f>
        <v>202.031602708804</v>
      </c>
      <c r="U52" s="29" t="n">
        <f aca="false">IF(AND(ISNUMBER(F52),ISNUMBER(H52)),H52*1000/F52,"")</f>
        <v>25.6884875846501</v>
      </c>
      <c r="V52" s="18" t="s">
        <v>979</v>
      </c>
      <c r="W52" s="18" t="s">
        <v>787</v>
      </c>
      <c r="X52" s="18" t="s">
        <v>801</v>
      </c>
      <c r="Y52" s="18" t="s">
        <v>789</v>
      </c>
      <c r="Z52" s="18" t="s">
        <v>20</v>
      </c>
      <c r="AA52" s="18" t="s">
        <v>980</v>
      </c>
    </row>
    <row r="53" customFormat="false" ht="23.85" hidden="false" customHeight="false" outlineLevel="0" collapsed="false">
      <c r="A53" s="18" t="s">
        <v>981</v>
      </c>
      <c r="B53" s="18" t="n">
        <v>89</v>
      </c>
      <c r="C53" s="18" t="s">
        <v>982</v>
      </c>
      <c r="D53" s="18" t="s">
        <v>983</v>
      </c>
      <c r="E53" s="18" t="s">
        <v>785</v>
      </c>
      <c r="F53" s="22" t="n">
        <v>1770</v>
      </c>
      <c r="G53" s="23" t="n">
        <f aca="false">IF(ISNUMBER(F53),F53/1000,"")</f>
        <v>1.77</v>
      </c>
      <c r="H53" s="24" t="n">
        <v>45</v>
      </c>
      <c r="I53" s="25" t="n">
        <v>0.35</v>
      </c>
      <c r="J53" s="26" t="n">
        <f aca="false">IF(AND(ISNUMBER(H53),ISNUMBER(I53)),H53/(2*(1+I53)),"")</f>
        <v>16.6666666666667</v>
      </c>
      <c r="K53" s="27" t="n">
        <v>150</v>
      </c>
      <c r="L53" s="27" t="n">
        <v>255</v>
      </c>
      <c r="M53" s="27"/>
      <c r="N53" s="27" t="n">
        <v>21</v>
      </c>
      <c r="O53" s="27" t="s">
        <v>799</v>
      </c>
      <c r="P53" s="27" t="n">
        <v>96</v>
      </c>
      <c r="Q53" s="27" t="n">
        <v>26</v>
      </c>
      <c r="R53" s="28" t="n">
        <v>9.2E-008</v>
      </c>
      <c r="S53" s="19" t="str">
        <f aca="false">IF(ISNUMBER(L53),"UTS",IF(ISNUMBER(K53),"YS",IF(ISNUMBER(M53),"Flexural","—")))</f>
        <v>UTS</v>
      </c>
      <c r="T53" s="26" t="n">
        <f aca="false">IF(AND(ISNUMBER(F53),OR(ISNUMBER(L53),ISNUMBER(K53),ISNUMBER(M53))),IF(ISNUMBER(L53),L53,IF(ISNUMBER(K53),K53,M53))*1000/F53,"")</f>
        <v>144.06779661017</v>
      </c>
      <c r="U53" s="29" t="n">
        <f aca="false">IF(AND(ISNUMBER(F53),ISNUMBER(H53)),H53*1000/F53,"")</f>
        <v>25.4237288135593</v>
      </c>
      <c r="V53" s="18"/>
      <c r="W53" s="18" t="s">
        <v>787</v>
      </c>
      <c r="X53" s="18" t="s">
        <v>788</v>
      </c>
      <c r="Y53" s="18" t="s">
        <v>789</v>
      </c>
      <c r="Z53" s="18" t="s">
        <v>20</v>
      </c>
      <c r="AA53" s="18"/>
    </row>
    <row r="54" customFormat="false" ht="23.85" hidden="false" customHeight="false" outlineLevel="0" collapsed="false">
      <c r="A54" s="18" t="s">
        <v>984</v>
      </c>
      <c r="B54" s="18" t="n">
        <v>90</v>
      </c>
      <c r="C54" s="18" t="s">
        <v>985</v>
      </c>
      <c r="D54" s="18" t="s">
        <v>953</v>
      </c>
      <c r="E54" s="18" t="s">
        <v>785</v>
      </c>
      <c r="F54" s="22" t="n">
        <v>1810</v>
      </c>
      <c r="G54" s="23" t="n">
        <f aca="false">IF(ISNUMBER(F54),F54/1000,"")</f>
        <v>1.81</v>
      </c>
      <c r="H54" s="24" t="n">
        <v>45</v>
      </c>
      <c r="I54" s="25" t="n">
        <v>0.35</v>
      </c>
      <c r="J54" s="26" t="n">
        <f aca="false">IF(AND(ISNUMBER(H54),ISNUMBER(I54)),H54/(2*(1+I54)),"")</f>
        <v>16.6666666666667</v>
      </c>
      <c r="K54" s="27" t="n">
        <v>160</v>
      </c>
      <c r="L54" s="27" t="n">
        <v>230</v>
      </c>
      <c r="M54" s="27"/>
      <c r="N54" s="27" t="n">
        <v>3</v>
      </c>
      <c r="O54" s="27" t="s">
        <v>799</v>
      </c>
      <c r="P54" s="27" t="n">
        <v>72</v>
      </c>
      <c r="Q54" s="27" t="n">
        <v>25</v>
      </c>
      <c r="R54" s="28"/>
      <c r="S54" s="19" t="str">
        <f aca="false">IF(ISNUMBER(L54),"UTS",IF(ISNUMBER(K54),"YS",IF(ISNUMBER(M54),"Flexural","—")))</f>
        <v>UTS</v>
      </c>
      <c r="T54" s="26" t="n">
        <f aca="false">IF(AND(ISNUMBER(F54),OR(ISNUMBER(L54),ISNUMBER(K54),ISNUMBER(M54))),IF(ISNUMBER(L54),L54,IF(ISNUMBER(K54),K54,M54))*1000/F54,"")</f>
        <v>127.07182320442</v>
      </c>
      <c r="U54" s="29" t="n">
        <f aca="false">IF(AND(ISNUMBER(F54),ISNUMBER(H54)),H54*1000/F54,"")</f>
        <v>24.8618784530387</v>
      </c>
      <c r="V54" s="18"/>
      <c r="W54" s="18" t="s">
        <v>787</v>
      </c>
      <c r="X54" s="18" t="s">
        <v>788</v>
      </c>
      <c r="Y54" s="18" t="s">
        <v>789</v>
      </c>
      <c r="Z54" s="18" t="s">
        <v>20</v>
      </c>
      <c r="AA54" s="18"/>
    </row>
    <row r="55" customFormat="false" ht="23.85" hidden="false" customHeight="false" outlineLevel="0" collapsed="false">
      <c r="A55" s="18" t="s">
        <v>986</v>
      </c>
      <c r="B55" s="18" t="n">
        <v>91</v>
      </c>
      <c r="C55" s="18" t="s">
        <v>987</v>
      </c>
      <c r="D55" s="18" t="s">
        <v>988</v>
      </c>
      <c r="E55" s="18" t="s">
        <v>798</v>
      </c>
      <c r="F55" s="22" t="n">
        <v>8470</v>
      </c>
      <c r="G55" s="23" t="n">
        <f aca="false">IF(ISNUMBER(F55),F55/1000,"")</f>
        <v>8.47</v>
      </c>
      <c r="H55" s="24" t="n">
        <v>207</v>
      </c>
      <c r="I55" s="25"/>
      <c r="J55" s="26" t="str">
        <f aca="false">IF(AND(ISNUMBER(H55),ISNUMBER(I55)),H55/(2*(1+I55)),"")</f>
        <v/>
      </c>
      <c r="K55" s="27" t="n">
        <v>240</v>
      </c>
      <c r="L55" s="27" t="n">
        <v>550</v>
      </c>
      <c r="M55" s="27"/>
      <c r="N55" s="27" t="n">
        <v>30</v>
      </c>
      <c r="O55" s="27" t="s">
        <v>799</v>
      </c>
      <c r="P55" s="27" t="n">
        <v>14.9</v>
      </c>
      <c r="Q55" s="27" t="n">
        <v>13.3</v>
      </c>
      <c r="R55" s="28" t="n">
        <v>1.03E-006</v>
      </c>
      <c r="S55" s="19" t="str">
        <f aca="false">IF(ISNUMBER(L55),"UTS",IF(ISNUMBER(K55),"YS",IF(ISNUMBER(M55),"Flexural","—")))</f>
        <v>UTS</v>
      </c>
      <c r="T55" s="26" t="n">
        <f aca="false">IF(AND(ISNUMBER(F55),OR(ISNUMBER(L55),ISNUMBER(K55),ISNUMBER(M55))),IF(ISNUMBER(L55),L55,IF(ISNUMBER(K55),K55,M55))*1000/F55,"")</f>
        <v>64.9350649350649</v>
      </c>
      <c r="U55" s="29" t="n">
        <f aca="false">IF(AND(ISNUMBER(F55),ISNUMBER(H55)),H55*1000/F55,"")</f>
        <v>24.4391971664699</v>
      </c>
      <c r="V55" s="18"/>
      <c r="W55" s="18" t="s">
        <v>787</v>
      </c>
      <c r="X55" s="18" t="s">
        <v>801</v>
      </c>
      <c r="Y55" s="18" t="s">
        <v>789</v>
      </c>
      <c r="Z55" s="18" t="s">
        <v>20</v>
      </c>
      <c r="AA55" s="18"/>
    </row>
    <row r="56" customFormat="false" ht="23.85" hidden="false" customHeight="false" outlineLevel="0" collapsed="false">
      <c r="A56" s="18" t="s">
        <v>989</v>
      </c>
      <c r="B56" s="18" t="n">
        <v>92</v>
      </c>
      <c r="C56" s="18" t="s">
        <v>990</v>
      </c>
      <c r="D56" s="18" t="s">
        <v>991</v>
      </c>
      <c r="E56" s="18" t="s">
        <v>798</v>
      </c>
      <c r="F56" s="22" t="n">
        <v>8440</v>
      </c>
      <c r="G56" s="23" t="n">
        <f aca="false">IF(ISNUMBER(F56),F56/1000,"")</f>
        <v>8.44</v>
      </c>
      <c r="H56" s="24" t="n">
        <v>205</v>
      </c>
      <c r="I56" s="25"/>
      <c r="J56" s="26" t="str">
        <f aca="false">IF(AND(ISNUMBER(H56),ISNUMBER(I56)),H56/(2*(1+I56)),"")</f>
        <v/>
      </c>
      <c r="K56" s="27" t="n">
        <v>414</v>
      </c>
      <c r="L56" s="27" t="n">
        <v>827</v>
      </c>
      <c r="M56" s="27"/>
      <c r="N56" s="27" t="n">
        <v>30</v>
      </c>
      <c r="O56" s="27" t="s">
        <v>799</v>
      </c>
      <c r="P56" s="27" t="n">
        <v>9.8</v>
      </c>
      <c r="Q56" s="27" t="n">
        <v>12.8</v>
      </c>
      <c r="R56" s="28" t="n">
        <v>1.29E-006</v>
      </c>
      <c r="S56" s="19" t="str">
        <f aca="false">IF(ISNUMBER(L56),"UTS",IF(ISNUMBER(K56),"YS",IF(ISNUMBER(M56),"Flexural","—")))</f>
        <v>UTS</v>
      </c>
      <c r="T56" s="26" t="n">
        <f aca="false">IF(AND(ISNUMBER(F56),OR(ISNUMBER(L56),ISNUMBER(K56),ISNUMBER(M56))),IF(ISNUMBER(L56),L56,IF(ISNUMBER(K56),K56,M56))*1000/F56,"")</f>
        <v>97.9857819905213</v>
      </c>
      <c r="U56" s="29" t="n">
        <f aca="false">IF(AND(ISNUMBER(F56),ISNUMBER(H56)),H56*1000/F56,"")</f>
        <v>24.2890995260664</v>
      </c>
      <c r="V56" s="18"/>
      <c r="W56" s="18" t="s">
        <v>787</v>
      </c>
      <c r="X56" s="18" t="s">
        <v>801</v>
      </c>
      <c r="Y56" s="18" t="s">
        <v>789</v>
      </c>
      <c r="Z56" s="18" t="s">
        <v>20</v>
      </c>
      <c r="AA56" s="18"/>
    </row>
    <row r="57" customFormat="false" ht="23.85" hidden="false" customHeight="false" outlineLevel="0" collapsed="false">
      <c r="A57" s="18" t="s">
        <v>992</v>
      </c>
      <c r="B57" s="18" t="n">
        <v>93</v>
      </c>
      <c r="C57" s="18" t="s">
        <v>993</v>
      </c>
      <c r="D57" s="18" t="s">
        <v>994</v>
      </c>
      <c r="E57" s="18" t="s">
        <v>798</v>
      </c>
      <c r="F57" s="22" t="n">
        <v>8190</v>
      </c>
      <c r="G57" s="23" t="n">
        <f aca="false">IF(ISNUMBER(F57),F57/1000,"")</f>
        <v>8.19</v>
      </c>
      <c r="H57" s="24" t="n">
        <v>200</v>
      </c>
      <c r="I57" s="25" t="n">
        <v>0.29</v>
      </c>
      <c r="J57" s="26" t="n">
        <f aca="false">IF(AND(ISNUMBER(H57),ISNUMBER(I57)),H57/(2*(1+I57)),"")</f>
        <v>77.5193798449612</v>
      </c>
      <c r="K57" s="27" t="n">
        <v>1034</v>
      </c>
      <c r="L57" s="27" t="n">
        <v>1275</v>
      </c>
      <c r="M57" s="27"/>
      <c r="N57" s="27" t="n">
        <v>12</v>
      </c>
      <c r="O57" s="27" t="s">
        <v>799</v>
      </c>
      <c r="P57" s="27" t="n">
        <v>11.4</v>
      </c>
      <c r="Q57" s="27" t="n">
        <v>13</v>
      </c>
      <c r="R57" s="28" t="n">
        <v>1.25E-006</v>
      </c>
      <c r="S57" s="19" t="str">
        <f aca="false">IF(ISNUMBER(L57),"UTS",IF(ISNUMBER(K57),"YS",IF(ISNUMBER(M57),"Flexural","—")))</f>
        <v>UTS</v>
      </c>
      <c r="T57" s="26" t="n">
        <f aca="false">IF(AND(ISNUMBER(F57),OR(ISNUMBER(L57),ISNUMBER(K57),ISNUMBER(M57))),IF(ISNUMBER(L57),L57,IF(ISNUMBER(K57),K57,M57))*1000/F57,"")</f>
        <v>155.677655677656</v>
      </c>
      <c r="U57" s="29" t="n">
        <f aca="false">IF(AND(ISNUMBER(F57),ISNUMBER(H57)),H57*1000/F57,"")</f>
        <v>24.4200244200244</v>
      </c>
      <c r="V57" s="18" t="s">
        <v>995</v>
      </c>
      <c r="W57" s="18" t="s">
        <v>787</v>
      </c>
      <c r="X57" s="18" t="s">
        <v>801</v>
      </c>
      <c r="Y57" s="18" t="s">
        <v>825</v>
      </c>
      <c r="Z57" s="18" t="s">
        <v>22</v>
      </c>
      <c r="AA57" s="18" t="s">
        <v>996</v>
      </c>
    </row>
    <row r="58" customFormat="false" ht="23.85" hidden="false" customHeight="false" outlineLevel="0" collapsed="false">
      <c r="A58" s="18" t="s">
        <v>997</v>
      </c>
      <c r="B58" s="18" t="n">
        <v>94</v>
      </c>
      <c r="C58" s="18" t="s">
        <v>998</v>
      </c>
      <c r="D58" s="18" t="s">
        <v>999</v>
      </c>
      <c r="E58" s="18" t="s">
        <v>798</v>
      </c>
      <c r="F58" s="22" t="n">
        <v>8800</v>
      </c>
      <c r="G58" s="23" t="n">
        <f aca="false">IF(ISNUMBER(F58),F58/1000,"")</f>
        <v>8.8</v>
      </c>
      <c r="H58" s="24" t="n">
        <v>179</v>
      </c>
      <c r="I58" s="25"/>
      <c r="J58" s="26" t="str">
        <f aca="false">IF(AND(ISNUMBER(H58),ISNUMBER(I58)),H58/(2*(1+I58)),"")</f>
        <v/>
      </c>
      <c r="K58" s="27" t="n">
        <v>195</v>
      </c>
      <c r="L58" s="27" t="n">
        <v>480</v>
      </c>
      <c r="M58" s="27"/>
      <c r="N58" s="27" t="n">
        <v>35</v>
      </c>
      <c r="O58" s="27" t="s">
        <v>799</v>
      </c>
      <c r="P58" s="27" t="n">
        <v>21.8</v>
      </c>
      <c r="Q58" s="27" t="n">
        <v>13.9</v>
      </c>
      <c r="R58" s="28" t="n">
        <v>5.1E-007</v>
      </c>
      <c r="S58" s="19" t="str">
        <f aca="false">IF(ISNUMBER(L58),"UTS",IF(ISNUMBER(K58),"YS",IF(ISNUMBER(M58),"Flexural","—")))</f>
        <v>UTS</v>
      </c>
      <c r="T58" s="26" t="n">
        <f aca="false">IF(AND(ISNUMBER(F58),OR(ISNUMBER(L58),ISNUMBER(K58),ISNUMBER(M58))),IF(ISNUMBER(L58),L58,IF(ISNUMBER(K58),K58,M58))*1000/F58,"")</f>
        <v>54.5454545454546</v>
      </c>
      <c r="U58" s="29" t="n">
        <f aca="false">IF(AND(ISNUMBER(F58),ISNUMBER(H58)),H58*1000/F58,"")</f>
        <v>20.3409090909091</v>
      </c>
      <c r="V58" s="18"/>
      <c r="W58" s="18" t="s">
        <v>787</v>
      </c>
      <c r="X58" s="18" t="s">
        <v>801</v>
      </c>
      <c r="Y58" s="18" t="s">
        <v>789</v>
      </c>
      <c r="Z58" s="18" t="s">
        <v>20</v>
      </c>
      <c r="AA58" s="18"/>
    </row>
    <row r="59" customFormat="false" ht="23.85" hidden="false" customHeight="false" outlineLevel="0" collapsed="false">
      <c r="A59" s="18" t="s">
        <v>1000</v>
      </c>
      <c r="B59" s="18" t="n">
        <v>95</v>
      </c>
      <c r="C59" s="18" t="s">
        <v>1001</v>
      </c>
      <c r="D59" s="18" t="s">
        <v>1002</v>
      </c>
      <c r="E59" s="18" t="s">
        <v>798</v>
      </c>
      <c r="F59" s="22" t="n">
        <v>8890</v>
      </c>
      <c r="G59" s="23" t="n">
        <f aca="false">IF(ISNUMBER(F59),F59/1000,"")</f>
        <v>8.89</v>
      </c>
      <c r="H59" s="24" t="n">
        <v>205</v>
      </c>
      <c r="I59" s="25"/>
      <c r="J59" s="26" t="str">
        <f aca="false">IF(AND(ISNUMBER(H59),ISNUMBER(I59)),H59/(2*(1+I59)),"")</f>
        <v/>
      </c>
      <c r="K59" s="27" t="n">
        <v>283</v>
      </c>
      <c r="L59" s="27" t="n">
        <v>690</v>
      </c>
      <c r="M59" s="27"/>
      <c r="N59" s="27" t="n">
        <v>40</v>
      </c>
      <c r="O59" s="27" t="s">
        <v>799</v>
      </c>
      <c r="P59" s="27" t="n">
        <v>10.2</v>
      </c>
      <c r="Q59" s="27" t="n">
        <v>11.2</v>
      </c>
      <c r="R59" s="28" t="n">
        <v>1.3E-006</v>
      </c>
      <c r="S59" s="19" t="str">
        <f aca="false">IF(ISNUMBER(L59),"UTS",IF(ISNUMBER(K59),"YS",IF(ISNUMBER(M59),"Flexural","—")))</f>
        <v>UTS</v>
      </c>
      <c r="T59" s="26" t="n">
        <f aca="false">IF(AND(ISNUMBER(F59),OR(ISNUMBER(L59),ISNUMBER(K59),ISNUMBER(M59))),IF(ISNUMBER(L59),L59,IF(ISNUMBER(K59),K59,M59))*1000/F59,"")</f>
        <v>77.615298087739</v>
      </c>
      <c r="U59" s="29" t="n">
        <f aca="false">IF(AND(ISNUMBER(F59),ISNUMBER(H59)),H59*1000/F59,"")</f>
        <v>23.0596175478065</v>
      </c>
      <c r="V59" s="18"/>
      <c r="W59" s="18" t="s">
        <v>787</v>
      </c>
      <c r="X59" s="18" t="s">
        <v>801</v>
      </c>
      <c r="Y59" s="18" t="s">
        <v>789</v>
      </c>
      <c r="Z59" s="18" t="s">
        <v>20</v>
      </c>
      <c r="AA59" s="18"/>
    </row>
    <row r="60" customFormat="false" ht="23.85" hidden="false" customHeight="false" outlineLevel="0" collapsed="false">
      <c r="A60" s="18" t="s">
        <v>1003</v>
      </c>
      <c r="B60" s="18" t="n">
        <v>96</v>
      </c>
      <c r="C60" s="18" t="s">
        <v>1004</v>
      </c>
      <c r="D60" s="18" t="s">
        <v>953</v>
      </c>
      <c r="E60" s="18" t="s">
        <v>785</v>
      </c>
      <c r="F60" s="22" t="n">
        <v>6600</v>
      </c>
      <c r="G60" s="23" t="n">
        <f aca="false">IF(ISNUMBER(F60),F60/1000,"")</f>
        <v>6.6</v>
      </c>
      <c r="H60" s="24" t="n">
        <v>85</v>
      </c>
      <c r="I60" s="25" t="n">
        <v>0.3</v>
      </c>
      <c r="J60" s="26" t="n">
        <f aca="false">IF(AND(ISNUMBER(H60),ISNUMBER(I60)),H60/(2*(1+I60)),"")</f>
        <v>32.6923076923077</v>
      </c>
      <c r="K60" s="27" t="n">
        <v>221</v>
      </c>
      <c r="L60" s="27" t="n">
        <v>283</v>
      </c>
      <c r="M60" s="27"/>
      <c r="N60" s="27" t="n">
        <v>10</v>
      </c>
      <c r="O60" s="27" t="s">
        <v>1005</v>
      </c>
      <c r="P60" s="27" t="n">
        <v>113</v>
      </c>
      <c r="Q60" s="27" t="n">
        <v>27.4</v>
      </c>
      <c r="R60" s="28"/>
      <c r="S60" s="19" t="str">
        <f aca="false">IF(ISNUMBER(L60),"UTS",IF(ISNUMBER(K60),"YS",IF(ISNUMBER(M60),"Flexural","—")))</f>
        <v>UTS</v>
      </c>
      <c r="T60" s="26" t="n">
        <f aca="false">IF(AND(ISNUMBER(F60),OR(ISNUMBER(L60),ISNUMBER(K60),ISNUMBER(M60))),IF(ISNUMBER(L60),L60,IF(ISNUMBER(K60),K60,M60))*1000/F60,"")</f>
        <v>42.8787878787879</v>
      </c>
      <c r="U60" s="29" t="n">
        <f aca="false">IF(AND(ISNUMBER(F60),ISNUMBER(H60)),H60*1000/F60,"")</f>
        <v>12.8787878787879</v>
      </c>
      <c r="V60" s="18" t="s">
        <v>1006</v>
      </c>
      <c r="W60" s="18" t="s">
        <v>787</v>
      </c>
      <c r="X60" s="18" t="s">
        <v>788</v>
      </c>
      <c r="Y60" s="18" t="s">
        <v>789</v>
      </c>
      <c r="Z60" s="18" t="s">
        <v>20</v>
      </c>
      <c r="AA60" s="18"/>
    </row>
    <row r="61" customFormat="false" ht="23.85" hidden="false" customHeight="false" outlineLevel="0" collapsed="false">
      <c r="A61" s="18" t="s">
        <v>1007</v>
      </c>
      <c r="B61" s="18" t="n">
        <v>97</v>
      </c>
      <c r="C61" s="18" t="s">
        <v>1008</v>
      </c>
      <c r="D61" s="18" t="s">
        <v>953</v>
      </c>
      <c r="E61" s="18" t="s">
        <v>785</v>
      </c>
      <c r="F61" s="22" t="n">
        <v>6600</v>
      </c>
      <c r="G61" s="23" t="n">
        <f aca="false">IF(ISNUMBER(F61),F61/1000,"")</f>
        <v>6.6</v>
      </c>
      <c r="H61" s="24" t="n">
        <v>85</v>
      </c>
      <c r="I61" s="25" t="n">
        <v>0.3</v>
      </c>
      <c r="J61" s="26" t="n">
        <f aca="false">IF(AND(ISNUMBER(H61),ISNUMBER(I61)),H61/(2*(1+I61)),"")</f>
        <v>32.6923076923077</v>
      </c>
      <c r="K61" s="27" t="n">
        <v>269</v>
      </c>
      <c r="L61" s="27" t="n">
        <v>331</v>
      </c>
      <c r="M61" s="27"/>
      <c r="N61" s="27" t="n">
        <v>7</v>
      </c>
      <c r="O61" s="27" t="s">
        <v>1009</v>
      </c>
      <c r="P61" s="27" t="n">
        <v>109</v>
      </c>
      <c r="Q61" s="27" t="n">
        <v>27.4</v>
      </c>
      <c r="R61" s="28"/>
      <c r="S61" s="19" t="str">
        <f aca="false">IF(ISNUMBER(L61),"UTS",IF(ISNUMBER(K61),"YS",IF(ISNUMBER(M61),"Flexural","—")))</f>
        <v>UTS</v>
      </c>
      <c r="T61" s="26" t="n">
        <f aca="false">IF(AND(ISNUMBER(F61),OR(ISNUMBER(L61),ISNUMBER(K61),ISNUMBER(M61))),IF(ISNUMBER(L61),L61,IF(ISNUMBER(K61),K61,M61))*1000/F61,"")</f>
        <v>50.1515151515152</v>
      </c>
      <c r="U61" s="29" t="n">
        <f aca="false">IF(AND(ISNUMBER(F61),ISNUMBER(H61)),H61*1000/F61,"")</f>
        <v>12.8787878787879</v>
      </c>
      <c r="V61" s="18"/>
      <c r="W61" s="18" t="s">
        <v>787</v>
      </c>
      <c r="X61" s="18" t="s">
        <v>788</v>
      </c>
      <c r="Y61" s="18" t="s">
        <v>789</v>
      </c>
      <c r="Z61" s="18" t="s">
        <v>20</v>
      </c>
      <c r="AA61" s="18"/>
    </row>
    <row r="62" customFormat="false" ht="23.85" hidden="false" customHeight="false" outlineLevel="0" collapsed="false">
      <c r="A62" s="18" t="s">
        <v>1010</v>
      </c>
      <c r="B62" s="18" t="n">
        <v>98</v>
      </c>
      <c r="C62" s="18" t="s">
        <v>495</v>
      </c>
      <c r="D62" s="18" t="s">
        <v>1011</v>
      </c>
      <c r="E62" s="18" t="s">
        <v>1012</v>
      </c>
      <c r="F62" s="22" t="n">
        <v>1140</v>
      </c>
      <c r="G62" s="23" t="n">
        <f aca="false">IF(ISNUMBER(F62),F62/1000,"")</f>
        <v>1.14</v>
      </c>
      <c r="H62" s="24" t="n">
        <v>2.8</v>
      </c>
      <c r="I62" s="25"/>
      <c r="J62" s="26" t="str">
        <f aca="false">IF(AND(ISNUMBER(H62),ISNUMBER(I62)),H62/(2*(1+I62)),"")</f>
        <v/>
      </c>
      <c r="K62" s="27"/>
      <c r="L62" s="27" t="n">
        <v>75</v>
      </c>
      <c r="M62" s="27"/>
      <c r="N62" s="27"/>
      <c r="O62" s="27" t="s">
        <v>799</v>
      </c>
      <c r="P62" s="27" t="n">
        <v>0.25</v>
      </c>
      <c r="Q62" s="27" t="n">
        <v>80</v>
      </c>
      <c r="R62" s="28"/>
      <c r="S62" s="19" t="str">
        <f aca="false">IF(ISNUMBER(L62),"UTS",IF(ISNUMBER(K62),"YS",IF(ISNUMBER(M62),"Flexural","—")))</f>
        <v>UTS</v>
      </c>
      <c r="T62" s="26" t="n">
        <f aca="false">IF(AND(ISNUMBER(F62),OR(ISNUMBER(L62),ISNUMBER(K62),ISNUMBER(M62))),IF(ISNUMBER(L62),L62,IF(ISNUMBER(K62),K62,M62))*1000/F62,"")</f>
        <v>65.7894736842105</v>
      </c>
      <c r="U62" s="29" t="n">
        <f aca="false">IF(AND(ISNUMBER(F62),ISNUMBER(H62)),H62*1000/F62,"")</f>
        <v>2.45614035087719</v>
      </c>
      <c r="V62" s="18" t="s">
        <v>1013</v>
      </c>
      <c r="W62" s="18" t="s">
        <v>1014</v>
      </c>
      <c r="X62" s="18" t="s">
        <v>1015</v>
      </c>
      <c r="Y62" s="18" t="s">
        <v>825</v>
      </c>
      <c r="Z62" s="18" t="s">
        <v>22</v>
      </c>
      <c r="AA62" s="18" t="s">
        <v>1016</v>
      </c>
    </row>
    <row r="63" customFormat="false" ht="15" hidden="false" customHeight="false" outlineLevel="0" collapsed="false">
      <c r="A63" s="18" t="s">
        <v>1017</v>
      </c>
      <c r="B63" s="18" t="n">
        <v>99</v>
      </c>
      <c r="C63" s="18" t="s">
        <v>502</v>
      </c>
      <c r="D63" s="18" t="s">
        <v>1011</v>
      </c>
      <c r="E63" s="18" t="s">
        <v>1012</v>
      </c>
      <c r="F63" s="22" t="n">
        <v>1140</v>
      </c>
      <c r="G63" s="23" t="n">
        <f aca="false">IF(ISNUMBER(F63),F63/1000,"")</f>
        <v>1.14</v>
      </c>
      <c r="H63" s="24" t="n">
        <v>3</v>
      </c>
      <c r="I63" s="25"/>
      <c r="J63" s="26" t="str">
        <f aca="false">IF(AND(ISNUMBER(H63),ISNUMBER(I63)),H63/(2*(1+I63)),"")</f>
        <v/>
      </c>
      <c r="K63" s="27"/>
      <c r="L63" s="27" t="n">
        <v>80</v>
      </c>
      <c r="M63" s="27"/>
      <c r="N63" s="27"/>
      <c r="O63" s="27" t="s">
        <v>799</v>
      </c>
      <c r="P63" s="27" t="n">
        <v>0.25</v>
      </c>
      <c r="Q63" s="27" t="n">
        <v>80</v>
      </c>
      <c r="R63" s="28"/>
      <c r="S63" s="19" t="str">
        <f aca="false">IF(ISNUMBER(L63),"UTS",IF(ISNUMBER(K63),"YS",IF(ISNUMBER(M63),"Flexural","—")))</f>
        <v>UTS</v>
      </c>
      <c r="T63" s="26" t="n">
        <f aca="false">IF(AND(ISNUMBER(F63),OR(ISNUMBER(L63),ISNUMBER(K63),ISNUMBER(M63))),IF(ISNUMBER(L63),L63,IF(ISNUMBER(K63),K63,M63))*1000/F63,"")</f>
        <v>70.1754385964912</v>
      </c>
      <c r="U63" s="29" t="n">
        <f aca="false">IF(AND(ISNUMBER(F63),ISNUMBER(H63)),H63*1000/F63,"")</f>
        <v>2.63157894736842</v>
      </c>
      <c r="V63" s="18" t="s">
        <v>1018</v>
      </c>
      <c r="W63" s="18" t="s">
        <v>1014</v>
      </c>
      <c r="X63" s="18" t="s">
        <v>1015</v>
      </c>
      <c r="Y63" s="18" t="s">
        <v>825</v>
      </c>
      <c r="Z63" s="18" t="s">
        <v>22</v>
      </c>
      <c r="AA63" s="18"/>
    </row>
    <row r="64" customFormat="false" ht="15" hidden="false" customHeight="false" outlineLevel="0" collapsed="false">
      <c r="A64" s="18" t="s">
        <v>1019</v>
      </c>
      <c r="B64" s="18" t="n">
        <v>100</v>
      </c>
      <c r="C64" s="18" t="s">
        <v>505</v>
      </c>
      <c r="D64" s="18" t="s">
        <v>1020</v>
      </c>
      <c r="E64" s="18" t="s">
        <v>1012</v>
      </c>
      <c r="F64" s="22" t="n">
        <v>1410</v>
      </c>
      <c r="G64" s="23" t="n">
        <f aca="false">IF(ISNUMBER(F64),F64/1000,"")</f>
        <v>1.41</v>
      </c>
      <c r="H64" s="24" t="n">
        <v>2.8</v>
      </c>
      <c r="I64" s="25"/>
      <c r="J64" s="26" t="str">
        <f aca="false">IF(AND(ISNUMBER(H64),ISNUMBER(I64)),H64/(2*(1+I64)),"")</f>
        <v/>
      </c>
      <c r="K64" s="27" t="n">
        <v>62</v>
      </c>
      <c r="L64" s="27"/>
      <c r="M64" s="27"/>
      <c r="N64" s="27" t="n">
        <v>40</v>
      </c>
      <c r="O64" s="27" t="s">
        <v>799</v>
      </c>
      <c r="P64" s="27" t="n">
        <v>0.31</v>
      </c>
      <c r="Q64" s="27" t="n">
        <v>110</v>
      </c>
      <c r="R64" s="28"/>
      <c r="S64" s="19" t="str">
        <f aca="false">IF(ISNUMBER(L64),"UTS",IF(ISNUMBER(K64),"YS",IF(ISNUMBER(M64),"Flexural","—")))</f>
        <v>YS</v>
      </c>
      <c r="T64" s="26" t="n">
        <f aca="false">IF(AND(ISNUMBER(F64),OR(ISNUMBER(L64),ISNUMBER(K64),ISNUMBER(M64))),IF(ISNUMBER(L64),L64,IF(ISNUMBER(K64),K64,M64))*1000/F64,"")</f>
        <v>43.9716312056738</v>
      </c>
      <c r="U64" s="29" t="n">
        <f aca="false">IF(AND(ISNUMBER(F64),ISNUMBER(H64)),H64*1000/F64,"")</f>
        <v>1.98581560283688</v>
      </c>
      <c r="V64" s="18"/>
      <c r="W64" s="18" t="s">
        <v>1014</v>
      </c>
      <c r="X64" s="18" t="s">
        <v>1015</v>
      </c>
      <c r="Y64" s="18" t="s">
        <v>825</v>
      </c>
      <c r="Z64" s="18" t="s">
        <v>22</v>
      </c>
      <c r="AA64" s="18"/>
    </row>
    <row r="65" customFormat="false" ht="15" hidden="false" customHeight="false" outlineLevel="0" collapsed="false">
      <c r="A65" s="18" t="s">
        <v>1021</v>
      </c>
      <c r="B65" s="18" t="n">
        <v>101</v>
      </c>
      <c r="C65" s="18" t="s">
        <v>509</v>
      </c>
      <c r="D65" s="18" t="s">
        <v>1020</v>
      </c>
      <c r="E65" s="18" t="s">
        <v>1012</v>
      </c>
      <c r="F65" s="22" t="n">
        <v>1420</v>
      </c>
      <c r="G65" s="23" t="n">
        <f aca="false">IF(ISNUMBER(F65),F65/1000,"")</f>
        <v>1.42</v>
      </c>
      <c r="H65" s="24" t="n">
        <v>3.1</v>
      </c>
      <c r="I65" s="25"/>
      <c r="J65" s="26" t="str">
        <f aca="false">IF(AND(ISNUMBER(H65),ISNUMBER(I65)),H65/(2*(1+I65)),"")</f>
        <v/>
      </c>
      <c r="K65" s="27" t="n">
        <v>70</v>
      </c>
      <c r="L65" s="27"/>
      <c r="M65" s="27"/>
      <c r="N65" s="27" t="n">
        <v>35</v>
      </c>
      <c r="O65" s="27" t="s">
        <v>799</v>
      </c>
      <c r="P65" s="27"/>
      <c r="Q65" s="27" t="n">
        <v>110</v>
      </c>
      <c r="R65" s="28"/>
      <c r="S65" s="19" t="str">
        <f aca="false">IF(ISNUMBER(L65),"UTS",IF(ISNUMBER(K65),"YS",IF(ISNUMBER(M65),"Flexural","—")))</f>
        <v>YS</v>
      </c>
      <c r="T65" s="26" t="n">
        <f aca="false">IF(AND(ISNUMBER(F65),OR(ISNUMBER(L65),ISNUMBER(K65),ISNUMBER(M65))),IF(ISNUMBER(L65),L65,IF(ISNUMBER(K65),K65,M65))*1000/F65,"")</f>
        <v>49.2957746478873</v>
      </c>
      <c r="U65" s="29" t="n">
        <f aca="false">IF(AND(ISNUMBER(F65),ISNUMBER(H65)),H65*1000/F65,"")</f>
        <v>2.1830985915493</v>
      </c>
      <c r="V65" s="18"/>
      <c r="W65" s="18" t="s">
        <v>1014</v>
      </c>
      <c r="X65" s="18" t="s">
        <v>1015</v>
      </c>
      <c r="Y65" s="18" t="s">
        <v>825</v>
      </c>
      <c r="Z65" s="18" t="s">
        <v>22</v>
      </c>
      <c r="AA65" s="18"/>
    </row>
    <row r="66" customFormat="false" ht="15" hidden="false" customHeight="false" outlineLevel="0" collapsed="false">
      <c r="A66" s="18" t="s">
        <v>1022</v>
      </c>
      <c r="B66" s="18" t="n">
        <v>102</v>
      </c>
      <c r="C66" s="18" t="s">
        <v>513</v>
      </c>
      <c r="D66" s="18" t="s">
        <v>1023</v>
      </c>
      <c r="E66" s="18" t="s">
        <v>1012</v>
      </c>
      <c r="F66" s="22" t="n">
        <v>2150</v>
      </c>
      <c r="G66" s="23" t="n">
        <f aca="false">IF(ISNUMBER(F66),F66/1000,"")</f>
        <v>2.15</v>
      </c>
      <c r="H66" s="24" t="n">
        <v>0.5</v>
      </c>
      <c r="I66" s="25"/>
      <c r="J66" s="26" t="str">
        <f aca="false">IF(AND(ISNUMBER(H66),ISNUMBER(I66)),H66/(2*(1+I66)),"")</f>
        <v/>
      </c>
      <c r="K66" s="27"/>
      <c r="L66" s="27" t="n">
        <v>25</v>
      </c>
      <c r="M66" s="27"/>
      <c r="N66" s="27" t="n">
        <v>300</v>
      </c>
      <c r="O66" s="27" t="s">
        <v>799</v>
      </c>
      <c r="P66" s="27" t="n">
        <v>0.25</v>
      </c>
      <c r="Q66" s="27" t="n">
        <v>120</v>
      </c>
      <c r="R66" s="28"/>
      <c r="S66" s="19" t="str">
        <f aca="false">IF(ISNUMBER(L66),"UTS",IF(ISNUMBER(K66),"YS",IF(ISNUMBER(M66),"Flexural","—")))</f>
        <v>UTS</v>
      </c>
      <c r="T66" s="26" t="n">
        <f aca="false">IF(AND(ISNUMBER(F66),OR(ISNUMBER(L66),ISNUMBER(K66),ISNUMBER(M66))),IF(ISNUMBER(L66),L66,IF(ISNUMBER(K66),K66,M66))*1000/F66,"")</f>
        <v>11.6279069767442</v>
      </c>
      <c r="U66" s="29" t="n">
        <f aca="false">IF(AND(ISNUMBER(F66),ISNUMBER(H66)),H66*1000/F66,"")</f>
        <v>0.232558139534884</v>
      </c>
      <c r="V66" s="18" t="s">
        <v>1024</v>
      </c>
      <c r="W66" s="18" t="s">
        <v>1014</v>
      </c>
      <c r="X66" s="18" t="s">
        <v>1015</v>
      </c>
      <c r="Y66" s="18" t="s">
        <v>825</v>
      </c>
      <c r="Z66" s="18" t="s">
        <v>22</v>
      </c>
      <c r="AA66" s="18"/>
    </row>
    <row r="67" customFormat="false" ht="15" hidden="false" customHeight="false" outlineLevel="0" collapsed="false">
      <c r="A67" s="18" t="s">
        <v>1025</v>
      </c>
      <c r="B67" s="18" t="n">
        <v>103</v>
      </c>
      <c r="C67" s="18" t="s">
        <v>517</v>
      </c>
      <c r="D67" s="18" t="s">
        <v>1020</v>
      </c>
      <c r="E67" s="18" t="s">
        <v>1012</v>
      </c>
      <c r="F67" s="22" t="n">
        <v>1300</v>
      </c>
      <c r="G67" s="23" t="n">
        <f aca="false">IF(ISNUMBER(F67),F67/1000,"")</f>
        <v>1.3</v>
      </c>
      <c r="H67" s="24" t="n">
        <v>3.6</v>
      </c>
      <c r="I67" s="25"/>
      <c r="J67" s="26" t="str">
        <f aca="false">IF(AND(ISNUMBER(H67),ISNUMBER(I67)),H67/(2*(1+I67)),"")</f>
        <v/>
      </c>
      <c r="K67" s="27" t="n">
        <v>100</v>
      </c>
      <c r="L67" s="27"/>
      <c r="M67" s="27"/>
      <c r="N67" s="27" t="n">
        <v>30</v>
      </c>
      <c r="O67" s="27" t="s">
        <v>799</v>
      </c>
      <c r="P67" s="27" t="n">
        <v>0.25</v>
      </c>
      <c r="Q67" s="27" t="n">
        <v>47</v>
      </c>
      <c r="R67" s="28"/>
      <c r="S67" s="19" t="str">
        <f aca="false">IF(ISNUMBER(L67),"UTS",IF(ISNUMBER(K67),"YS",IF(ISNUMBER(M67),"Flexural","—")))</f>
        <v>YS</v>
      </c>
      <c r="T67" s="26" t="n">
        <f aca="false">IF(AND(ISNUMBER(F67),OR(ISNUMBER(L67),ISNUMBER(K67),ISNUMBER(M67))),IF(ISNUMBER(L67),L67,IF(ISNUMBER(K67),K67,M67))*1000/F67,"")</f>
        <v>76.9230769230769</v>
      </c>
      <c r="U67" s="29" t="n">
        <f aca="false">IF(AND(ISNUMBER(F67),ISNUMBER(H67)),H67*1000/F67,"")</f>
        <v>2.76923076923077</v>
      </c>
      <c r="V67" s="18" t="s">
        <v>1026</v>
      </c>
      <c r="W67" s="18" t="s">
        <v>1014</v>
      </c>
      <c r="X67" s="18" t="s">
        <v>1015</v>
      </c>
      <c r="Y67" s="18" t="s">
        <v>825</v>
      </c>
      <c r="Z67" s="18" t="s">
        <v>22</v>
      </c>
      <c r="AA67" s="18"/>
    </row>
    <row r="68" customFormat="false" ht="15" hidden="false" customHeight="false" outlineLevel="0" collapsed="false">
      <c r="A68" s="18" t="s">
        <v>1027</v>
      </c>
      <c r="B68" s="18" t="n">
        <v>104</v>
      </c>
      <c r="C68" s="18" t="s">
        <v>521</v>
      </c>
      <c r="D68" s="18" t="s">
        <v>1028</v>
      </c>
      <c r="E68" s="18" t="s">
        <v>1012</v>
      </c>
      <c r="F68" s="22" t="n">
        <v>1050</v>
      </c>
      <c r="G68" s="23" t="n">
        <f aca="false">IF(ISNUMBER(F68),F68/1000,"")</f>
        <v>1.05</v>
      </c>
      <c r="H68" s="24" t="n">
        <v>2.2</v>
      </c>
      <c r="I68" s="25"/>
      <c r="J68" s="26" t="str">
        <f aca="false">IF(AND(ISNUMBER(H68),ISNUMBER(I68)),H68/(2*(1+I68)),"")</f>
        <v/>
      </c>
      <c r="K68" s="27" t="n">
        <v>40</v>
      </c>
      <c r="L68" s="27"/>
      <c r="M68" s="27"/>
      <c r="N68" s="27"/>
      <c r="O68" s="27" t="s">
        <v>799</v>
      </c>
      <c r="P68" s="27" t="n">
        <v>0.17</v>
      </c>
      <c r="Q68" s="27" t="n">
        <v>90</v>
      </c>
      <c r="R68" s="28"/>
      <c r="S68" s="19" t="str">
        <f aca="false">IF(ISNUMBER(L68),"UTS",IF(ISNUMBER(K68),"YS",IF(ISNUMBER(M68),"Flexural","—")))</f>
        <v>YS</v>
      </c>
      <c r="T68" s="26" t="n">
        <f aca="false">IF(AND(ISNUMBER(F68),OR(ISNUMBER(L68),ISNUMBER(K68),ISNUMBER(M68))),IF(ISNUMBER(L68),L68,IF(ISNUMBER(K68),K68,M68))*1000/F68,"")</f>
        <v>38.0952380952381</v>
      </c>
      <c r="U68" s="29" t="n">
        <f aca="false">IF(AND(ISNUMBER(F68),ISNUMBER(H68)),H68*1000/F68,"")</f>
        <v>2.0952380952381</v>
      </c>
      <c r="V68" s="18"/>
      <c r="W68" s="18" t="s">
        <v>1014</v>
      </c>
      <c r="X68" s="18" t="s">
        <v>1015</v>
      </c>
      <c r="Y68" s="18" t="s">
        <v>825</v>
      </c>
      <c r="Z68" s="18" t="s">
        <v>22</v>
      </c>
      <c r="AA68" s="18"/>
    </row>
    <row r="69" customFormat="false" ht="15" hidden="false" customHeight="false" outlineLevel="0" collapsed="false">
      <c r="A69" s="18" t="s">
        <v>1029</v>
      </c>
      <c r="B69" s="18" t="n">
        <v>105</v>
      </c>
      <c r="C69" s="18" t="s">
        <v>525</v>
      </c>
      <c r="D69" s="18" t="s">
        <v>1020</v>
      </c>
      <c r="E69" s="18" t="s">
        <v>1012</v>
      </c>
      <c r="F69" s="22" t="n">
        <v>1200</v>
      </c>
      <c r="G69" s="23" t="n">
        <f aca="false">IF(ISNUMBER(F69),F69/1000,"")</f>
        <v>1.2</v>
      </c>
      <c r="H69" s="24" t="n">
        <v>2.3</v>
      </c>
      <c r="I69" s="25"/>
      <c r="J69" s="26" t="str">
        <f aca="false">IF(AND(ISNUMBER(H69),ISNUMBER(I69)),H69/(2*(1+I69)),"")</f>
        <v/>
      </c>
      <c r="K69" s="27" t="n">
        <v>62</v>
      </c>
      <c r="L69" s="27"/>
      <c r="M69" s="27"/>
      <c r="N69" s="27" t="n">
        <v>100</v>
      </c>
      <c r="O69" s="27" t="s">
        <v>799</v>
      </c>
      <c r="P69" s="27" t="n">
        <v>0.2</v>
      </c>
      <c r="Q69" s="27" t="n">
        <v>68</v>
      </c>
      <c r="R69" s="28"/>
      <c r="S69" s="19" t="str">
        <f aca="false">IF(ISNUMBER(L69),"UTS",IF(ISNUMBER(K69),"YS",IF(ISNUMBER(M69),"Flexural","—")))</f>
        <v>YS</v>
      </c>
      <c r="T69" s="26" t="n">
        <f aca="false">IF(AND(ISNUMBER(F69),OR(ISNUMBER(L69),ISNUMBER(K69),ISNUMBER(M69))),IF(ISNUMBER(L69),L69,IF(ISNUMBER(K69),K69,M69))*1000/F69,"")</f>
        <v>51.6666666666667</v>
      </c>
      <c r="U69" s="29" t="n">
        <f aca="false">IF(AND(ISNUMBER(F69),ISNUMBER(H69)),H69*1000/F69,"")</f>
        <v>1.91666666666667</v>
      </c>
      <c r="V69" s="18"/>
      <c r="W69" s="18" t="s">
        <v>1014</v>
      </c>
      <c r="X69" s="18" t="s">
        <v>1015</v>
      </c>
      <c r="Y69" s="18" t="s">
        <v>825</v>
      </c>
      <c r="Z69" s="18" t="s">
        <v>22</v>
      </c>
      <c r="AA69" s="18"/>
    </row>
    <row r="70" customFormat="false" ht="15" hidden="false" customHeight="false" outlineLevel="0" collapsed="false">
      <c r="A70" s="18" t="s">
        <v>1030</v>
      </c>
      <c r="B70" s="18" t="n">
        <v>106</v>
      </c>
      <c r="C70" s="18" t="s">
        <v>527</v>
      </c>
      <c r="D70" s="18" t="s">
        <v>1031</v>
      </c>
      <c r="E70" s="18" t="s">
        <v>1012</v>
      </c>
      <c r="F70" s="22" t="n">
        <v>935</v>
      </c>
      <c r="G70" s="23" t="n">
        <f aca="false">IF(ISNUMBER(F70),F70/1000,"")</f>
        <v>0.935</v>
      </c>
      <c r="H70" s="24" t="n">
        <v>0.7</v>
      </c>
      <c r="I70" s="25"/>
      <c r="J70" s="26" t="str">
        <f aca="false">IF(AND(ISNUMBER(H70),ISNUMBER(I70)),H70/(2*(1+I70)),"")</f>
        <v/>
      </c>
      <c r="K70" s="27" t="n">
        <v>21</v>
      </c>
      <c r="L70" s="27"/>
      <c r="M70" s="27"/>
      <c r="N70" s="27" t="n">
        <v>350</v>
      </c>
      <c r="O70" s="27" t="s">
        <v>799</v>
      </c>
      <c r="P70" s="27" t="n">
        <v>0.4</v>
      </c>
      <c r="Q70" s="27"/>
      <c r="R70" s="28"/>
      <c r="S70" s="19" t="str">
        <f aca="false">IF(ISNUMBER(L70),"UTS",IF(ISNUMBER(K70),"YS",IF(ISNUMBER(M70),"Flexural","—")))</f>
        <v>YS</v>
      </c>
      <c r="T70" s="26" t="n">
        <f aca="false">IF(AND(ISNUMBER(F70),OR(ISNUMBER(L70),ISNUMBER(K70),ISNUMBER(M70))),IF(ISNUMBER(L70),L70,IF(ISNUMBER(K70),K70,M70))*1000/F70,"")</f>
        <v>22.4598930481283</v>
      </c>
      <c r="U70" s="29" t="n">
        <f aca="false">IF(AND(ISNUMBER(F70),ISNUMBER(H70)),H70*1000/F70,"")</f>
        <v>0.748663101604278</v>
      </c>
      <c r="V70" s="18"/>
      <c r="W70" s="18" t="s">
        <v>1014</v>
      </c>
      <c r="X70" s="18" t="s">
        <v>1015</v>
      </c>
      <c r="Y70" s="18" t="s">
        <v>825</v>
      </c>
      <c r="Z70" s="18" t="s">
        <v>22</v>
      </c>
      <c r="AA70" s="18"/>
    </row>
    <row r="71" customFormat="false" ht="23.85" hidden="false" customHeight="false" outlineLevel="0" collapsed="false">
      <c r="A71" s="18" t="s">
        <v>1032</v>
      </c>
      <c r="B71" s="18" t="n">
        <v>112</v>
      </c>
      <c r="C71" s="18" t="s">
        <v>1033</v>
      </c>
      <c r="D71" s="18" t="s">
        <v>1034</v>
      </c>
      <c r="E71" s="18" t="s">
        <v>1012</v>
      </c>
      <c r="F71" s="22" t="n">
        <v>3890</v>
      </c>
      <c r="G71" s="23" t="n">
        <f aca="false">IF(ISNUMBER(F71),F71/1000,"")</f>
        <v>3.89</v>
      </c>
      <c r="H71" s="24" t="n">
        <v>370</v>
      </c>
      <c r="I71" s="25" t="n">
        <v>0.22</v>
      </c>
      <c r="J71" s="26" t="n">
        <f aca="false">IF(AND(ISNUMBER(H71),ISNUMBER(I71)),H71/(2*(1+I71)),"")</f>
        <v>151.639344262295</v>
      </c>
      <c r="K71" s="27"/>
      <c r="L71" s="27"/>
      <c r="M71" s="27" t="n">
        <v>350</v>
      </c>
      <c r="N71" s="27"/>
      <c r="O71" s="27" t="s">
        <v>1035</v>
      </c>
      <c r="P71" s="27" t="n">
        <v>30</v>
      </c>
      <c r="Q71" s="27" t="n">
        <v>8</v>
      </c>
      <c r="R71" s="28"/>
      <c r="S71" s="19" t="str">
        <f aca="false">IF(ISNUMBER(L71),"UTS",IF(ISNUMBER(K71),"YS",IF(ISNUMBER(M71),"Flexural","—")))</f>
        <v>Flexural</v>
      </c>
      <c r="T71" s="26" t="n">
        <f aca="false">IF(AND(ISNUMBER(F71),OR(ISNUMBER(L71),ISNUMBER(K71),ISNUMBER(M71))),IF(ISNUMBER(L71),L71,IF(ISNUMBER(K71),K71,M71))*1000/F71,"")</f>
        <v>89.974293059126</v>
      </c>
      <c r="U71" s="29" t="n">
        <f aca="false">IF(AND(ISNUMBER(F71),ISNUMBER(H71)),H71*1000/F71,"")</f>
        <v>95.1156812339332</v>
      </c>
      <c r="V71" s="18" t="s">
        <v>1036</v>
      </c>
      <c r="W71" s="18" t="s">
        <v>787</v>
      </c>
      <c r="X71" s="18" t="s">
        <v>1015</v>
      </c>
      <c r="Y71" s="18" t="s">
        <v>825</v>
      </c>
      <c r="Z71" s="18" t="s">
        <v>22</v>
      </c>
      <c r="AA71" s="18" t="s">
        <v>1037</v>
      </c>
    </row>
    <row r="72" customFormat="false" ht="15" hidden="false" customHeight="false" outlineLevel="0" collapsed="false">
      <c r="A72" s="18" t="s">
        <v>1038</v>
      </c>
      <c r="B72" s="18" t="n">
        <v>113</v>
      </c>
      <c r="C72" s="18" t="s">
        <v>1039</v>
      </c>
      <c r="D72" s="18" t="s">
        <v>1040</v>
      </c>
      <c r="E72" s="18" t="s">
        <v>1012</v>
      </c>
      <c r="F72" s="22" t="n">
        <v>3150</v>
      </c>
      <c r="G72" s="23" t="n">
        <f aca="false">IF(ISNUMBER(F72),F72/1000,"")</f>
        <v>3.15</v>
      </c>
      <c r="H72" s="24" t="n">
        <v>410</v>
      </c>
      <c r="I72" s="25" t="n">
        <v>0.17</v>
      </c>
      <c r="J72" s="26" t="n">
        <f aca="false">IF(AND(ISNUMBER(H72),ISNUMBER(I72)),H72/(2*(1+I72)),"")</f>
        <v>175.213675213675</v>
      </c>
      <c r="K72" s="27"/>
      <c r="L72" s="27"/>
      <c r="M72" s="27" t="n">
        <v>400</v>
      </c>
      <c r="N72" s="27"/>
      <c r="O72" s="27" t="s">
        <v>1041</v>
      </c>
      <c r="P72" s="27" t="n">
        <v>120</v>
      </c>
      <c r="Q72" s="27" t="n">
        <v>4</v>
      </c>
      <c r="R72" s="28"/>
      <c r="S72" s="19" t="str">
        <f aca="false">IF(ISNUMBER(L72),"UTS",IF(ISNUMBER(K72),"YS",IF(ISNUMBER(M72),"Flexural","—")))</f>
        <v>Flexural</v>
      </c>
      <c r="T72" s="26" t="n">
        <f aca="false">IF(AND(ISNUMBER(F72),OR(ISNUMBER(L72),ISNUMBER(K72),ISNUMBER(M72))),IF(ISNUMBER(L72),L72,IF(ISNUMBER(K72),K72,M72))*1000/F72,"")</f>
        <v>126.984126984127</v>
      </c>
      <c r="U72" s="29" t="n">
        <f aca="false">IF(AND(ISNUMBER(F72),ISNUMBER(H72)),H72*1000/F72,"")</f>
        <v>130.15873015873</v>
      </c>
      <c r="V72" s="18" t="s">
        <v>1042</v>
      </c>
      <c r="W72" s="18" t="s">
        <v>787</v>
      </c>
      <c r="X72" s="18" t="s">
        <v>1015</v>
      </c>
      <c r="Y72" s="18" t="s">
        <v>825</v>
      </c>
      <c r="Z72" s="18" t="s">
        <v>22</v>
      </c>
      <c r="AA72" s="18" t="s">
        <v>1043</v>
      </c>
    </row>
    <row r="73" customFormat="false" ht="15" hidden="false" customHeight="false" outlineLevel="0" collapsed="false">
      <c r="A73" s="18" t="s">
        <v>1044</v>
      </c>
      <c r="B73" s="18" t="n">
        <v>114</v>
      </c>
      <c r="C73" s="18" t="s">
        <v>1045</v>
      </c>
      <c r="D73" s="18" t="s">
        <v>1034</v>
      </c>
      <c r="E73" s="18" t="s">
        <v>1012</v>
      </c>
      <c r="F73" s="22" t="n">
        <v>6050</v>
      </c>
      <c r="G73" s="23" t="n">
        <f aca="false">IF(ISNUMBER(F73),F73/1000,"")</f>
        <v>6.05</v>
      </c>
      <c r="H73" s="24" t="n">
        <v>205</v>
      </c>
      <c r="I73" s="25" t="n">
        <v>0.3</v>
      </c>
      <c r="J73" s="26" t="n">
        <f aca="false">IF(AND(ISNUMBER(H73),ISNUMBER(I73)),H73/(2*(1+I73)),"")</f>
        <v>78.8461538461538</v>
      </c>
      <c r="K73" s="27"/>
      <c r="L73" s="27"/>
      <c r="M73" s="27" t="n">
        <v>1000</v>
      </c>
      <c r="N73" s="27"/>
      <c r="O73" s="27" t="s">
        <v>1046</v>
      </c>
      <c r="P73" s="27" t="n">
        <v>2.5</v>
      </c>
      <c r="Q73" s="27" t="n">
        <v>10.5</v>
      </c>
      <c r="R73" s="28"/>
      <c r="S73" s="19" t="str">
        <f aca="false">IF(ISNUMBER(L73),"UTS",IF(ISNUMBER(K73),"YS",IF(ISNUMBER(M73),"Flexural","—")))</f>
        <v>Flexural</v>
      </c>
      <c r="T73" s="26" t="n">
        <f aca="false">IF(AND(ISNUMBER(F73),OR(ISNUMBER(L73),ISNUMBER(K73),ISNUMBER(M73))),IF(ISNUMBER(L73),L73,IF(ISNUMBER(K73),K73,M73))*1000/F73,"")</f>
        <v>165.289256198347</v>
      </c>
      <c r="U73" s="29" t="n">
        <f aca="false">IF(AND(ISNUMBER(F73),ISNUMBER(H73)),H73*1000/F73,"")</f>
        <v>33.8842975206612</v>
      </c>
      <c r="V73" s="18" t="s">
        <v>1047</v>
      </c>
      <c r="W73" s="18" t="s">
        <v>787</v>
      </c>
      <c r="X73" s="18" t="s">
        <v>1015</v>
      </c>
      <c r="Y73" s="18" t="s">
        <v>825</v>
      </c>
      <c r="Z73" s="18" t="s">
        <v>22</v>
      </c>
      <c r="AA73" s="18"/>
    </row>
    <row r="74" customFormat="false" ht="23.85" hidden="false" customHeight="false" outlineLevel="0" collapsed="false">
      <c r="A74" s="18" t="s">
        <v>1048</v>
      </c>
      <c r="B74" s="18" t="n">
        <v>115</v>
      </c>
      <c r="C74" s="18" t="s">
        <v>1049</v>
      </c>
      <c r="D74" s="18" t="s">
        <v>1034</v>
      </c>
      <c r="E74" s="18" t="s">
        <v>1012</v>
      </c>
      <c r="F74" s="22" t="n">
        <v>3200</v>
      </c>
      <c r="G74" s="23" t="n">
        <f aca="false">IF(ISNUMBER(F74),F74/1000,"")</f>
        <v>3.2</v>
      </c>
      <c r="H74" s="24" t="n">
        <v>310</v>
      </c>
      <c r="I74" s="25" t="n">
        <v>0.27</v>
      </c>
      <c r="J74" s="26" t="n">
        <f aca="false">IF(AND(ISNUMBER(H74),ISNUMBER(I74)),H74/(2*(1+I74)),"")</f>
        <v>122.047244094488</v>
      </c>
      <c r="K74" s="27"/>
      <c r="L74" s="27"/>
      <c r="M74" s="27" t="n">
        <v>850</v>
      </c>
      <c r="N74" s="27"/>
      <c r="O74" s="27" t="s">
        <v>1035</v>
      </c>
      <c r="P74" s="27" t="n">
        <v>28</v>
      </c>
      <c r="Q74" s="27" t="n">
        <v>3.2</v>
      </c>
      <c r="R74" s="28"/>
      <c r="S74" s="19" t="str">
        <f aca="false">IF(ISNUMBER(L74),"UTS",IF(ISNUMBER(K74),"YS",IF(ISNUMBER(M74),"Flexural","—")))</f>
        <v>Flexural</v>
      </c>
      <c r="T74" s="26" t="n">
        <f aca="false">IF(AND(ISNUMBER(F74),OR(ISNUMBER(L74),ISNUMBER(K74),ISNUMBER(M74))),IF(ISNUMBER(L74),L74,IF(ISNUMBER(K74),K74,M74))*1000/F74,"")</f>
        <v>265.625</v>
      </c>
      <c r="U74" s="29" t="n">
        <f aca="false">IF(AND(ISNUMBER(F74),ISNUMBER(H74)),H74*1000/F74,"")</f>
        <v>96.875</v>
      </c>
      <c r="V74" s="18" t="s">
        <v>1050</v>
      </c>
      <c r="W74" s="18" t="s">
        <v>787</v>
      </c>
      <c r="X74" s="18" t="s">
        <v>1015</v>
      </c>
      <c r="Y74" s="18" t="s">
        <v>825</v>
      </c>
      <c r="Z74" s="18" t="s">
        <v>22</v>
      </c>
      <c r="AA74" s="18"/>
    </row>
    <row r="75" customFormat="false" ht="23.85" hidden="false" customHeight="false" outlineLevel="0" collapsed="false">
      <c r="A75" s="18" t="s">
        <v>1051</v>
      </c>
      <c r="B75" s="18" t="n">
        <v>116</v>
      </c>
      <c r="C75" s="18" t="s">
        <v>1052</v>
      </c>
      <c r="D75" s="18" t="s">
        <v>1034</v>
      </c>
      <c r="E75" s="18" t="s">
        <v>1012</v>
      </c>
      <c r="F75" s="22" t="n">
        <v>14900</v>
      </c>
      <c r="G75" s="23" t="n">
        <f aca="false">IF(ISNUMBER(F75),F75/1000,"")</f>
        <v>14.9</v>
      </c>
      <c r="H75" s="24" t="n">
        <v>620</v>
      </c>
      <c r="I75" s="25" t="n">
        <v>0.22</v>
      </c>
      <c r="J75" s="26" t="n">
        <f aca="false">IF(AND(ISNUMBER(H75),ISNUMBER(I75)),H75/(2*(1+I75)),"")</f>
        <v>254.098360655738</v>
      </c>
      <c r="K75" s="27"/>
      <c r="L75" s="27"/>
      <c r="M75" s="27" t="n">
        <v>2000</v>
      </c>
      <c r="N75" s="27"/>
      <c r="O75" s="27" t="s">
        <v>1035</v>
      </c>
      <c r="P75" s="27" t="n">
        <v>100</v>
      </c>
      <c r="Q75" s="27" t="n">
        <v>5.5</v>
      </c>
      <c r="R75" s="28"/>
      <c r="S75" s="19" t="str">
        <f aca="false">IF(ISNUMBER(L75),"UTS",IF(ISNUMBER(K75),"YS",IF(ISNUMBER(M75),"Flexural","—")))</f>
        <v>Flexural</v>
      </c>
      <c r="T75" s="26" t="n">
        <f aca="false">IF(AND(ISNUMBER(F75),OR(ISNUMBER(L75),ISNUMBER(K75),ISNUMBER(M75))),IF(ISNUMBER(L75),L75,IF(ISNUMBER(K75),K75,M75))*1000/F75,"")</f>
        <v>134.228187919463</v>
      </c>
      <c r="U75" s="29" t="n">
        <f aca="false">IF(AND(ISNUMBER(F75),ISNUMBER(H75)),H75*1000/F75,"")</f>
        <v>41.6107382550336</v>
      </c>
      <c r="V75" s="18" t="s">
        <v>1053</v>
      </c>
      <c r="W75" s="18" t="s">
        <v>787</v>
      </c>
      <c r="X75" s="18" t="s">
        <v>1015</v>
      </c>
      <c r="Y75" s="18" t="s">
        <v>825</v>
      </c>
      <c r="Z75" s="18" t="s">
        <v>22</v>
      </c>
      <c r="AA75" s="18"/>
    </row>
    <row r="76" customFormat="false" ht="35.05" hidden="false" customHeight="false" outlineLevel="0" collapsed="false">
      <c r="A76" s="18" t="s">
        <v>1054</v>
      </c>
      <c r="B76" s="18" t="n">
        <v>119</v>
      </c>
      <c r="C76" s="18" t="s">
        <v>1055</v>
      </c>
      <c r="D76" s="18" t="s">
        <v>1056</v>
      </c>
      <c r="E76" s="18" t="s">
        <v>1012</v>
      </c>
      <c r="F76" s="22" t="n">
        <v>1560</v>
      </c>
      <c r="G76" s="23" t="n">
        <f aca="false">IF(ISNUMBER(F76),F76/1000,"")</f>
        <v>1.56</v>
      </c>
      <c r="H76" s="24" t="n">
        <v>135</v>
      </c>
      <c r="I76" s="25"/>
      <c r="J76" s="26" t="str">
        <f aca="false">IF(AND(ISNUMBER(H76),ISNUMBER(I76)),H76/(2*(1+I76)),"")</f>
        <v/>
      </c>
      <c r="K76" s="27"/>
      <c r="L76" s="27" t="n">
        <v>1800</v>
      </c>
      <c r="M76" s="27"/>
      <c r="N76" s="27" t="n">
        <v>1.4</v>
      </c>
      <c r="O76" s="27" t="s">
        <v>799</v>
      </c>
      <c r="P76" s="27"/>
      <c r="Q76" s="27" t="n">
        <v>-0.3</v>
      </c>
      <c r="R76" s="28"/>
      <c r="S76" s="19" t="str">
        <f aca="false">IF(ISNUMBER(L76),"UTS",IF(ISNUMBER(K76),"YS",IF(ISNUMBER(M76),"Flexural","—")))</f>
        <v>UTS</v>
      </c>
      <c r="T76" s="26" t="n">
        <f aca="false">IF(AND(ISNUMBER(F76),OR(ISNUMBER(L76),ISNUMBER(K76),ISNUMBER(M76))),IF(ISNUMBER(L76),L76,IF(ISNUMBER(K76),K76,M76))*1000/F76,"")</f>
        <v>1153.84615384615</v>
      </c>
      <c r="U76" s="29" t="n">
        <f aca="false">IF(AND(ISNUMBER(F76),ISNUMBER(H76)),H76*1000/F76,"")</f>
        <v>86.5384615384615</v>
      </c>
      <c r="V76" s="18" t="s">
        <v>1057</v>
      </c>
      <c r="W76" s="18" t="s">
        <v>787</v>
      </c>
      <c r="X76" s="18" t="s">
        <v>1015</v>
      </c>
      <c r="Y76" s="18" t="s">
        <v>825</v>
      </c>
      <c r="Z76" s="18" t="s">
        <v>22</v>
      </c>
      <c r="AA76" s="18" t="s">
        <v>1058</v>
      </c>
    </row>
    <row r="77" customFormat="false" ht="23.85" hidden="false" customHeight="false" outlineLevel="0" collapsed="false">
      <c r="A77" s="18" t="s">
        <v>1059</v>
      </c>
      <c r="B77" s="18" t="n">
        <v>120</v>
      </c>
      <c r="C77" s="18" t="s">
        <v>1060</v>
      </c>
      <c r="D77" s="18" t="s">
        <v>1056</v>
      </c>
      <c r="E77" s="18" t="s">
        <v>1012</v>
      </c>
      <c r="F77" s="22" t="n">
        <v>1950</v>
      </c>
      <c r="G77" s="23" t="n">
        <f aca="false">IF(ISNUMBER(F77),F77/1000,"")</f>
        <v>1.95</v>
      </c>
      <c r="H77" s="24" t="n">
        <v>40</v>
      </c>
      <c r="I77" s="25"/>
      <c r="J77" s="26" t="str">
        <f aca="false">IF(AND(ISNUMBER(H77),ISNUMBER(I77)),H77/(2*(1+I77)),"")</f>
        <v/>
      </c>
      <c r="K77" s="27"/>
      <c r="L77" s="27" t="n">
        <v>900</v>
      </c>
      <c r="M77" s="27"/>
      <c r="N77" s="27" t="n">
        <v>2.5</v>
      </c>
      <c r="O77" s="27" t="s">
        <v>799</v>
      </c>
      <c r="P77" s="27"/>
      <c r="Q77" s="27"/>
      <c r="R77" s="28"/>
      <c r="S77" s="19" t="str">
        <f aca="false">IF(ISNUMBER(L77),"UTS",IF(ISNUMBER(K77),"YS",IF(ISNUMBER(M77),"Flexural","—")))</f>
        <v>UTS</v>
      </c>
      <c r="T77" s="26" t="n">
        <f aca="false">IF(AND(ISNUMBER(F77),OR(ISNUMBER(L77),ISNUMBER(K77),ISNUMBER(M77))),IF(ISNUMBER(L77),L77,IF(ISNUMBER(K77),K77,M77))*1000/F77,"")</f>
        <v>461.538461538462</v>
      </c>
      <c r="U77" s="29" t="n">
        <f aca="false">IF(AND(ISNUMBER(F77),ISNUMBER(H77)),H77*1000/F77,"")</f>
        <v>20.5128205128205</v>
      </c>
      <c r="V77" s="18" t="s">
        <v>1061</v>
      </c>
      <c r="W77" s="18" t="s">
        <v>787</v>
      </c>
      <c r="X77" s="18" t="s">
        <v>1015</v>
      </c>
      <c r="Y77" s="18" t="s">
        <v>825</v>
      </c>
      <c r="Z77" s="18" t="s">
        <v>22</v>
      </c>
      <c r="AA77" s="18" t="s">
        <v>1062</v>
      </c>
    </row>
    <row r="78" customFormat="false" ht="23.85" hidden="false" customHeight="false" outlineLevel="0" collapsed="false">
      <c r="A78" s="18" t="s">
        <v>1063</v>
      </c>
      <c r="B78" s="18" t="n">
        <v>125</v>
      </c>
      <c r="C78" s="18" t="s">
        <v>617</v>
      </c>
      <c r="D78" s="18" t="s">
        <v>828</v>
      </c>
      <c r="E78" s="18" t="s">
        <v>785</v>
      </c>
      <c r="F78" s="22" t="n">
        <v>8050</v>
      </c>
      <c r="G78" s="23" t="n">
        <f aca="false">IF(ISNUMBER(F78),F78/1000,"")</f>
        <v>8.05</v>
      </c>
      <c r="H78" s="24" t="n">
        <v>141</v>
      </c>
      <c r="I78" s="25" t="n">
        <v>0.26</v>
      </c>
      <c r="J78" s="26" t="n">
        <f aca="false">IF(AND(ISNUMBER(H78),ISNUMBER(I78)),H78/(2*(1+I78)),"")</f>
        <v>55.952380952381</v>
      </c>
      <c r="K78" s="27"/>
      <c r="L78" s="27"/>
      <c r="M78" s="27"/>
      <c r="N78" s="27"/>
      <c r="O78" s="27" t="s">
        <v>799</v>
      </c>
      <c r="P78" s="27" t="n">
        <v>10.5</v>
      </c>
      <c r="Q78" s="27" t="n">
        <v>1.3</v>
      </c>
      <c r="R78" s="28" t="n">
        <v>7.5E-007</v>
      </c>
      <c r="S78" s="19" t="str">
        <f aca="false">IF(ISNUMBER(L78),"UTS",IF(ISNUMBER(K78),"YS",IF(ISNUMBER(M78),"Flexural","—")))</f>
        <v>—</v>
      </c>
      <c r="T78" s="26" t="str">
        <f aca="false">IF(AND(ISNUMBER(F78),OR(ISNUMBER(L78),ISNUMBER(K78),ISNUMBER(M78))),IF(ISNUMBER(L78),L78,IF(ISNUMBER(K78),K78,M78))*1000/F78,"")</f>
        <v/>
      </c>
      <c r="U78" s="29" t="n">
        <f aca="false">IF(AND(ISNUMBER(F78),ISNUMBER(H78)),H78*1000/F78,"")</f>
        <v>17.5155279503106</v>
      </c>
      <c r="V78" s="18" t="s">
        <v>1064</v>
      </c>
      <c r="W78" s="18" t="s">
        <v>787</v>
      </c>
      <c r="X78" s="18" t="s">
        <v>788</v>
      </c>
      <c r="Y78" s="18" t="s">
        <v>789</v>
      </c>
      <c r="Z78" s="18" t="s">
        <v>20</v>
      </c>
      <c r="AA78" s="18" t="s">
        <v>1065</v>
      </c>
    </row>
    <row r="79" customFormat="false" ht="23.85" hidden="false" customHeight="false" outlineLevel="0" collapsed="false">
      <c r="A79" s="18" t="s">
        <v>1066</v>
      </c>
      <c r="B79" s="18" t="n">
        <v>126</v>
      </c>
      <c r="C79" s="18" t="s">
        <v>623</v>
      </c>
      <c r="D79" s="18" t="s">
        <v>828</v>
      </c>
      <c r="E79" s="18" t="s">
        <v>785</v>
      </c>
      <c r="F79" s="22" t="n">
        <v>8360</v>
      </c>
      <c r="G79" s="23" t="n">
        <f aca="false">IF(ISNUMBER(F79),F79/1000,"")</f>
        <v>8.36</v>
      </c>
      <c r="H79" s="24" t="n">
        <v>138</v>
      </c>
      <c r="I79" s="25"/>
      <c r="J79" s="26" t="str">
        <f aca="false">IF(AND(ISNUMBER(H79),ISNUMBER(I79)),H79/(2*(1+I79)),"")</f>
        <v/>
      </c>
      <c r="K79" s="27"/>
      <c r="L79" s="27"/>
      <c r="M79" s="27"/>
      <c r="N79" s="27"/>
      <c r="O79" s="27" t="s">
        <v>799</v>
      </c>
      <c r="P79" s="27" t="n">
        <v>17</v>
      </c>
      <c r="Q79" s="27" t="n">
        <v>5.5</v>
      </c>
      <c r="R79" s="28" t="n">
        <v>4.9E-007</v>
      </c>
      <c r="S79" s="19" t="str">
        <f aca="false">IF(ISNUMBER(L79),"UTS",IF(ISNUMBER(K79),"YS",IF(ISNUMBER(M79),"Flexural","—")))</f>
        <v>—</v>
      </c>
      <c r="T79" s="26" t="str">
        <f aca="false">IF(AND(ISNUMBER(F79),OR(ISNUMBER(L79),ISNUMBER(K79),ISNUMBER(M79))),IF(ISNUMBER(L79),L79,IF(ISNUMBER(K79),K79,M79))*1000/F79,"")</f>
        <v/>
      </c>
      <c r="U79" s="29" t="n">
        <f aca="false">IF(AND(ISNUMBER(F79),ISNUMBER(H79)),H79*1000/F79,"")</f>
        <v>16.5071770334928</v>
      </c>
      <c r="V79" s="18" t="s">
        <v>1067</v>
      </c>
      <c r="W79" s="18" t="s">
        <v>787</v>
      </c>
      <c r="X79" s="18" t="s">
        <v>788</v>
      </c>
      <c r="Y79" s="18" t="s">
        <v>789</v>
      </c>
      <c r="Z79" s="18" t="s">
        <v>20</v>
      </c>
      <c r="AA79" s="18"/>
    </row>
    <row r="80" customFormat="false" ht="23.85" hidden="false" customHeight="false" outlineLevel="0" collapsed="false">
      <c r="A80" s="18" t="s">
        <v>1068</v>
      </c>
      <c r="B80" s="18" t="n">
        <v>127</v>
      </c>
      <c r="C80" s="18" t="s">
        <v>629</v>
      </c>
      <c r="D80" s="18" t="s">
        <v>1069</v>
      </c>
      <c r="E80" s="18" t="s">
        <v>785</v>
      </c>
      <c r="F80" s="22" t="n">
        <v>10220</v>
      </c>
      <c r="G80" s="23" t="n">
        <f aca="false">IF(ISNUMBER(F80),F80/1000,"")</f>
        <v>10.22</v>
      </c>
      <c r="H80" s="24" t="n">
        <v>329</v>
      </c>
      <c r="I80" s="25" t="n">
        <v>0.31</v>
      </c>
      <c r="J80" s="26" t="n">
        <f aca="false">IF(AND(ISNUMBER(H80),ISNUMBER(I80)),H80/(2*(1+I80)),"")</f>
        <v>125.572519083969</v>
      </c>
      <c r="K80" s="27"/>
      <c r="L80" s="27"/>
      <c r="M80" s="27"/>
      <c r="N80" s="27"/>
      <c r="O80" s="27" t="s">
        <v>799</v>
      </c>
      <c r="P80" s="27" t="n">
        <v>138</v>
      </c>
      <c r="Q80" s="27" t="n">
        <v>4.8</v>
      </c>
      <c r="R80" s="28" t="n">
        <v>5.34E-008</v>
      </c>
      <c r="S80" s="19" t="str">
        <f aca="false">IF(ISNUMBER(L80),"UTS",IF(ISNUMBER(K80),"YS",IF(ISNUMBER(M80),"Flexural","—")))</f>
        <v>—</v>
      </c>
      <c r="T80" s="26" t="str">
        <f aca="false">IF(AND(ISNUMBER(F80),OR(ISNUMBER(L80),ISNUMBER(K80),ISNUMBER(M80))),IF(ISNUMBER(L80),L80,IF(ISNUMBER(K80),K80,M80))*1000/F80,"")</f>
        <v/>
      </c>
      <c r="U80" s="29" t="n">
        <f aca="false">IF(AND(ISNUMBER(F80),ISNUMBER(H80)),H80*1000/F80,"")</f>
        <v>32.1917808219178</v>
      </c>
      <c r="V80" s="18" t="s">
        <v>1070</v>
      </c>
      <c r="W80" s="18" t="s">
        <v>787</v>
      </c>
      <c r="X80" s="18" t="s">
        <v>788</v>
      </c>
      <c r="Y80" s="18" t="s">
        <v>789</v>
      </c>
      <c r="Z80" s="18" t="s">
        <v>20</v>
      </c>
      <c r="AA80" s="18"/>
    </row>
    <row r="81" customFormat="false" ht="23.85" hidden="false" customHeight="false" outlineLevel="0" collapsed="false">
      <c r="A81" s="18" t="s">
        <v>1071</v>
      </c>
      <c r="B81" s="18" t="n">
        <v>128</v>
      </c>
      <c r="C81" s="18" t="s">
        <v>635</v>
      </c>
      <c r="D81" s="18" t="s">
        <v>1072</v>
      </c>
      <c r="E81" s="18" t="s">
        <v>785</v>
      </c>
      <c r="F81" s="22" t="n">
        <v>19250</v>
      </c>
      <c r="G81" s="23" t="n">
        <f aca="false">IF(ISNUMBER(F81),F81/1000,"")</f>
        <v>19.25</v>
      </c>
      <c r="H81" s="24" t="n">
        <v>411</v>
      </c>
      <c r="I81" s="25" t="n">
        <v>0.28</v>
      </c>
      <c r="J81" s="26" t="n">
        <f aca="false">IF(AND(ISNUMBER(H81),ISNUMBER(I81)),H81/(2*(1+I81)),"")</f>
        <v>160.546875</v>
      </c>
      <c r="K81" s="27"/>
      <c r="L81" s="27"/>
      <c r="M81" s="27"/>
      <c r="N81" s="27"/>
      <c r="O81" s="27" t="s">
        <v>799</v>
      </c>
      <c r="P81" s="27" t="n">
        <v>173</v>
      </c>
      <c r="Q81" s="27" t="n">
        <v>4.5</v>
      </c>
      <c r="R81" s="28" t="n">
        <v>5.28E-008</v>
      </c>
      <c r="S81" s="19" t="str">
        <f aca="false">IF(ISNUMBER(L81),"UTS",IF(ISNUMBER(K81),"YS",IF(ISNUMBER(M81),"Flexural","—")))</f>
        <v>—</v>
      </c>
      <c r="T81" s="26" t="str">
        <f aca="false">IF(AND(ISNUMBER(F81),OR(ISNUMBER(L81),ISNUMBER(K81),ISNUMBER(M81))),IF(ISNUMBER(L81),L81,IF(ISNUMBER(K81),K81,M81))*1000/F81,"")</f>
        <v/>
      </c>
      <c r="U81" s="29" t="n">
        <f aca="false">IF(AND(ISNUMBER(F81),ISNUMBER(H81)),H81*1000/F81,"")</f>
        <v>21.3506493506494</v>
      </c>
      <c r="V81" s="18"/>
      <c r="W81" s="18" t="s">
        <v>787</v>
      </c>
      <c r="X81" s="18" t="s">
        <v>788</v>
      </c>
      <c r="Y81" s="18" t="s">
        <v>789</v>
      </c>
      <c r="Z81" s="18" t="s">
        <v>20</v>
      </c>
      <c r="AA81" s="18"/>
    </row>
    <row r="82" customFormat="false" ht="35.05" hidden="false" customHeight="false" outlineLevel="0" collapsed="false">
      <c r="A82" s="18" t="s">
        <v>1073</v>
      </c>
      <c r="B82" s="18" t="n">
        <v>130</v>
      </c>
      <c r="C82" s="18" t="s">
        <v>1074</v>
      </c>
      <c r="D82" s="18" t="s">
        <v>1075</v>
      </c>
      <c r="E82" s="18" t="s">
        <v>785</v>
      </c>
      <c r="F82" s="22" t="n">
        <v>7800</v>
      </c>
      <c r="G82" s="23" t="n">
        <f aca="false">IF(ISNUMBER(F82),F82/1000,"")</f>
        <v>7.8</v>
      </c>
      <c r="H82" s="24"/>
      <c r="I82" s="25"/>
      <c r="J82" s="26" t="str">
        <f aca="false">IF(AND(ISNUMBER(H82),ISNUMBER(I82)),H82/(2*(1+I82)),"")</f>
        <v/>
      </c>
      <c r="K82" s="27"/>
      <c r="L82" s="27"/>
      <c r="M82" s="27"/>
      <c r="N82" s="27"/>
      <c r="O82" s="27" t="s">
        <v>1076</v>
      </c>
      <c r="P82" s="27"/>
      <c r="Q82" s="27"/>
      <c r="R82" s="28"/>
      <c r="S82" s="19" t="str">
        <f aca="false">IF(ISNUMBER(L82),"UTS",IF(ISNUMBER(K82),"YS",IF(ISNUMBER(M82),"Flexural","—")))</f>
        <v>—</v>
      </c>
      <c r="T82" s="26" t="str">
        <f aca="false">IF(AND(ISNUMBER(F82),OR(ISNUMBER(L82),ISNUMBER(K82),ISNUMBER(M82))),IF(ISNUMBER(L82),L82,IF(ISNUMBER(K82),K82,M82))*1000/F82,"")</f>
        <v/>
      </c>
      <c r="U82" s="29" t="str">
        <f aca="false">IF(AND(ISNUMBER(F82),ISNUMBER(H82)),H82*1000/F82,"")</f>
        <v/>
      </c>
      <c r="V82" s="18" t="s">
        <v>1077</v>
      </c>
      <c r="W82" s="18" t="s">
        <v>787</v>
      </c>
      <c r="X82" s="18" t="s">
        <v>788</v>
      </c>
      <c r="Y82" s="18" t="s">
        <v>825</v>
      </c>
      <c r="Z82" s="18" t="s">
        <v>22</v>
      </c>
      <c r="AA82" s="18" t="s">
        <v>1078</v>
      </c>
    </row>
    <row r="83" customFormat="false" ht="23.85" hidden="false" customHeight="false" outlineLevel="0" collapsed="false">
      <c r="A83" s="18" t="s">
        <v>1079</v>
      </c>
      <c r="B83" s="18" t="n">
        <v>131</v>
      </c>
      <c r="C83" s="18" t="s">
        <v>651</v>
      </c>
      <c r="D83" s="18" t="s">
        <v>1080</v>
      </c>
      <c r="E83" s="18" t="s">
        <v>1081</v>
      </c>
      <c r="F83" s="22" t="n">
        <v>7850</v>
      </c>
      <c r="G83" s="23" t="n">
        <f aca="false">IF(ISNUMBER(F83),F83/1000,"")</f>
        <v>7.85</v>
      </c>
      <c r="H83" s="24" t="n">
        <v>200</v>
      </c>
      <c r="I83" s="25" t="n">
        <v>0.3</v>
      </c>
      <c r="J83" s="26" t="n">
        <f aca="false">IF(AND(ISNUMBER(H83),ISNUMBER(I83)),H83/(2*(1+I83)),"")</f>
        <v>76.9230769230769</v>
      </c>
      <c r="K83" s="27" t="n">
        <v>1000</v>
      </c>
      <c r="L83" s="27" t="n">
        <v>1250</v>
      </c>
      <c r="M83" s="27"/>
      <c r="N83" s="27" t="n">
        <v>10</v>
      </c>
      <c r="O83" s="27" t="s">
        <v>1082</v>
      </c>
      <c r="P83" s="27"/>
      <c r="Q83" s="27"/>
      <c r="R83" s="28"/>
      <c r="S83" s="19" t="str">
        <f aca="false">IF(ISNUMBER(L83),"UTS",IF(ISNUMBER(K83),"YS",IF(ISNUMBER(M83),"Flexural","—")))</f>
        <v>UTS</v>
      </c>
      <c r="T83" s="26" t="n">
        <f aca="false">IF(AND(ISNUMBER(F83),OR(ISNUMBER(L83),ISNUMBER(K83),ISNUMBER(M83))),IF(ISNUMBER(L83),L83,IF(ISNUMBER(K83),K83,M83))*1000/F83,"")</f>
        <v>159.235668789809</v>
      </c>
      <c r="U83" s="29" t="n">
        <f aca="false">IF(AND(ISNUMBER(F83),ISNUMBER(H83)),H83*1000/F83,"")</f>
        <v>25.4777070063694</v>
      </c>
      <c r="V83" s="18"/>
      <c r="W83" s="18" t="s">
        <v>787</v>
      </c>
      <c r="X83" s="18" t="s">
        <v>1015</v>
      </c>
      <c r="Y83" s="18" t="s">
        <v>789</v>
      </c>
      <c r="Z83" s="18" t="s">
        <v>20</v>
      </c>
      <c r="AA83" s="18" t="s">
        <v>1083</v>
      </c>
    </row>
    <row r="84" customFormat="false" ht="23.85" hidden="false" customHeight="false" outlineLevel="0" collapsed="false">
      <c r="A84" s="18" t="s">
        <v>1084</v>
      </c>
      <c r="B84" s="18" t="n">
        <v>132</v>
      </c>
      <c r="C84" s="18" t="s">
        <v>658</v>
      </c>
      <c r="D84" s="18" t="s">
        <v>1080</v>
      </c>
      <c r="E84" s="18" t="s">
        <v>1081</v>
      </c>
      <c r="F84" s="22" t="n">
        <v>7850</v>
      </c>
      <c r="G84" s="23" t="n">
        <f aca="false">IF(ISNUMBER(F84),F84/1000,"")</f>
        <v>7.85</v>
      </c>
      <c r="H84" s="24" t="n">
        <v>200</v>
      </c>
      <c r="I84" s="25" t="n">
        <v>0.3</v>
      </c>
      <c r="J84" s="26" t="n">
        <f aca="false">IF(AND(ISNUMBER(H84),ISNUMBER(I84)),H84/(2*(1+I84)),"")</f>
        <v>76.9230769230769</v>
      </c>
      <c r="K84" s="27" t="n">
        <v>1200</v>
      </c>
      <c r="L84" s="27" t="n">
        <v>1400</v>
      </c>
      <c r="M84" s="27"/>
      <c r="N84" s="27" t="n">
        <v>10</v>
      </c>
      <c r="O84" s="27" t="s">
        <v>1085</v>
      </c>
      <c r="P84" s="27"/>
      <c r="Q84" s="27"/>
      <c r="R84" s="28"/>
      <c r="S84" s="19" t="str">
        <f aca="false">IF(ISNUMBER(L84),"UTS",IF(ISNUMBER(K84),"YS",IF(ISNUMBER(M84),"Flexural","—")))</f>
        <v>UTS</v>
      </c>
      <c r="T84" s="26" t="n">
        <f aca="false">IF(AND(ISNUMBER(F84),OR(ISNUMBER(L84),ISNUMBER(K84),ISNUMBER(M84))),IF(ISNUMBER(L84),L84,IF(ISNUMBER(K84),K84,M84))*1000/F84,"")</f>
        <v>178.343949044586</v>
      </c>
      <c r="U84" s="29" t="n">
        <f aca="false">IF(AND(ISNUMBER(F84),ISNUMBER(H84)),H84*1000/F84,"")</f>
        <v>25.4777070063694</v>
      </c>
      <c r="V84" s="18"/>
      <c r="W84" s="18" t="s">
        <v>787</v>
      </c>
      <c r="X84" s="18" t="s">
        <v>1015</v>
      </c>
      <c r="Y84" s="18" t="s">
        <v>825</v>
      </c>
      <c r="Z84" s="18" t="s">
        <v>22</v>
      </c>
      <c r="AA84" s="18" t="s">
        <v>1086</v>
      </c>
    </row>
  </sheetData>
  <autoFilter ref="A4:AA84"/>
  <conditionalFormatting sqref="Z5:Z84">
    <cfRule type="cellIs" priority="2" operator="equal" aboveAverage="0" equalAverage="0" bottom="0" percent="0" rank="0" text="" dxfId="10">
      <formula>"Verified"</formula>
    </cfRule>
    <cfRule type="cellIs" priority="3" operator="equal" aboveAverage="0" equalAverage="0" bottom="0" percent="0" rank="0" text="" dxfId="11">
      <formula>"Conditionally verified"</formula>
    </cfRule>
    <cfRule type="cellIs" priority="4" operator="equal" aboveAverage="0" equalAverage="0" bottom="0" percent="0" rank="0" text="" dxfId="12">
      <formula>"Incorrect"</formula>
    </cfRule>
    <cfRule type="cellIs" priority="5" operator="equal" aboveAverage="0" equalAverage="0" bottom="0" percent="0" rank="0" text="" dxfId="13">
      <formula>"Unverified"</formula>
    </cfRule>
    <cfRule type="cellIs" priority="6" operator="equal" aboveAverage="0" equalAverage="0" bottom="0" percent="0" rank="0" text="" dxfId="14">
      <formula>"Not applicable (gap list)"</formula>
    </cfRule>
  </conditionalFormatting>
  <dataValidations count="1">
    <dataValidation allowBlank="true" errorStyle="stop" operator="between" showDropDown="false" showErrorMessage="false" showInputMessage="false" sqref="Z5:Z84" type="list">
      <formula1>"Verified,Conditionally verified,Incorrect,Unverified"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9" min="9" style="0" width="46"/>
    <col collapsed="false" customWidth="true" hidden="false" outlineLevel="0" max="10" min="10" style="0" width="30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1" t="s">
        <v>1087</v>
      </c>
    </row>
    <row r="2" customFormat="false" ht="15" hidden="false" customHeight="false" outlineLevel="0" collapsed="false">
      <c r="A2" s="16" t="s">
        <v>1088</v>
      </c>
    </row>
    <row r="4" customFormat="false" ht="42" hidden="false" customHeight="true" outlineLevel="0" collapsed="false">
      <c r="A4" s="17" t="s">
        <v>1089</v>
      </c>
      <c r="B4" s="17" t="s">
        <v>1090</v>
      </c>
      <c r="C4" s="17" t="s">
        <v>1091</v>
      </c>
      <c r="D4" s="17" t="s">
        <v>1092</v>
      </c>
      <c r="E4" s="17" t="s">
        <v>1093</v>
      </c>
      <c r="F4" s="17" t="s">
        <v>1094</v>
      </c>
      <c r="G4" s="17" t="s">
        <v>1095</v>
      </c>
      <c r="H4" s="17" t="s">
        <v>1096</v>
      </c>
      <c r="I4" s="17" t="s">
        <v>1097</v>
      </c>
      <c r="J4" s="17" t="s">
        <v>1098</v>
      </c>
      <c r="K4" s="17" t="s">
        <v>781</v>
      </c>
    </row>
    <row r="5" customFormat="false" ht="35.05" hidden="false" customHeight="false" outlineLevel="0" collapsed="false">
      <c r="A5" s="18" t="s">
        <v>1099</v>
      </c>
      <c r="B5" s="18" t="s">
        <v>1100</v>
      </c>
      <c r="C5" s="18" t="s">
        <v>1101</v>
      </c>
      <c r="D5" s="18" t="s">
        <v>1102</v>
      </c>
      <c r="E5" s="18" t="s">
        <v>1103</v>
      </c>
      <c r="F5" s="18" t="s">
        <v>1104</v>
      </c>
      <c r="G5" s="18" t="s">
        <v>1105</v>
      </c>
      <c r="H5" s="18" t="s">
        <v>1106</v>
      </c>
      <c r="I5" s="18" t="s">
        <v>1107</v>
      </c>
      <c r="J5" s="18" t="s">
        <v>1108</v>
      </c>
      <c r="K5" s="18" t="s">
        <v>20</v>
      </c>
    </row>
    <row r="6" customFormat="false" ht="35.05" hidden="false" customHeight="false" outlineLevel="0" collapsed="false">
      <c r="A6" s="18" t="s">
        <v>1109</v>
      </c>
      <c r="B6" s="18" t="s">
        <v>1110</v>
      </c>
      <c r="C6" s="18" t="s">
        <v>1111</v>
      </c>
      <c r="D6" s="18" t="s">
        <v>1112</v>
      </c>
      <c r="E6" s="18" t="s">
        <v>1113</v>
      </c>
      <c r="F6" s="18" t="s">
        <v>1114</v>
      </c>
      <c r="G6" s="18" t="s">
        <v>1115</v>
      </c>
      <c r="H6" s="18" t="s">
        <v>1116</v>
      </c>
      <c r="I6" s="18" t="s">
        <v>1117</v>
      </c>
      <c r="J6" s="18" t="s">
        <v>1118</v>
      </c>
      <c r="K6" s="18" t="s">
        <v>20</v>
      </c>
    </row>
    <row r="7" customFormat="false" ht="23.85" hidden="false" customHeight="false" outlineLevel="0" collapsed="false">
      <c r="A7" s="18" t="s">
        <v>1119</v>
      </c>
      <c r="B7" s="18" t="s">
        <v>1120</v>
      </c>
      <c r="C7" s="18" t="s">
        <v>1121</v>
      </c>
      <c r="D7" s="18" t="s">
        <v>1122</v>
      </c>
      <c r="E7" s="18" t="s">
        <v>1123</v>
      </c>
      <c r="F7" s="18" t="s">
        <v>1124</v>
      </c>
      <c r="G7" s="18" t="s">
        <v>1125</v>
      </c>
      <c r="H7" s="18" t="s">
        <v>1126</v>
      </c>
      <c r="I7" s="18" t="s">
        <v>1127</v>
      </c>
      <c r="J7" s="18" t="s">
        <v>1128</v>
      </c>
      <c r="K7" s="18" t="s">
        <v>20</v>
      </c>
    </row>
    <row r="8" customFormat="false" ht="46.25" hidden="false" customHeight="false" outlineLevel="0" collapsed="false">
      <c r="A8" s="18" t="s">
        <v>1129</v>
      </c>
      <c r="B8" s="18" t="s">
        <v>1130</v>
      </c>
      <c r="C8" s="18" t="s">
        <v>1131</v>
      </c>
      <c r="D8" s="18" t="s">
        <v>1132</v>
      </c>
      <c r="E8" s="18" t="s">
        <v>1133</v>
      </c>
      <c r="F8" s="18" t="s">
        <v>1134</v>
      </c>
      <c r="G8" s="18" t="s">
        <v>1135</v>
      </c>
      <c r="H8" s="18" t="s">
        <v>1136</v>
      </c>
      <c r="I8" s="18" t="s">
        <v>1137</v>
      </c>
      <c r="J8" s="18" t="s">
        <v>1138</v>
      </c>
      <c r="K8" s="18" t="s">
        <v>20</v>
      </c>
    </row>
    <row r="9" customFormat="false" ht="35.05" hidden="false" customHeight="false" outlineLevel="0" collapsed="false">
      <c r="A9" s="18" t="s">
        <v>1139</v>
      </c>
      <c r="B9" s="18" t="s">
        <v>1140</v>
      </c>
      <c r="C9" s="18" t="s">
        <v>1141</v>
      </c>
      <c r="D9" s="18" t="s">
        <v>1142</v>
      </c>
      <c r="E9" s="18" t="s">
        <v>1143</v>
      </c>
      <c r="F9" s="18" t="s">
        <v>1144</v>
      </c>
      <c r="G9" s="18" t="s">
        <v>1145</v>
      </c>
      <c r="H9" s="18" t="s">
        <v>1146</v>
      </c>
      <c r="I9" s="18" t="s">
        <v>1147</v>
      </c>
      <c r="J9" s="18" t="s">
        <v>1148</v>
      </c>
      <c r="K9" s="18" t="s">
        <v>20</v>
      </c>
    </row>
    <row r="10" customFormat="false" ht="23.85" hidden="false" customHeight="false" outlineLevel="0" collapsed="false">
      <c r="A10" s="18" t="s">
        <v>1149</v>
      </c>
      <c r="B10" s="18" t="s">
        <v>283</v>
      </c>
      <c r="C10" s="18" t="s">
        <v>1150</v>
      </c>
      <c r="D10" s="18" t="s">
        <v>1151</v>
      </c>
      <c r="E10" s="18" t="s">
        <v>1152</v>
      </c>
      <c r="F10" s="18" t="s">
        <v>1153</v>
      </c>
      <c r="G10" s="18" t="s">
        <v>1154</v>
      </c>
      <c r="H10" s="18" t="s">
        <v>1155</v>
      </c>
      <c r="I10" s="18" t="s">
        <v>1156</v>
      </c>
      <c r="J10" s="18" t="s">
        <v>1157</v>
      </c>
      <c r="K10" s="18" t="s">
        <v>20</v>
      </c>
    </row>
    <row r="11" customFormat="false" ht="23.85" hidden="false" customHeight="false" outlineLevel="0" collapsed="false">
      <c r="A11" s="18" t="s">
        <v>1158</v>
      </c>
      <c r="B11" s="18" t="s">
        <v>1159</v>
      </c>
      <c r="C11" s="18" t="s">
        <v>1160</v>
      </c>
      <c r="D11" s="18" t="s">
        <v>1161</v>
      </c>
      <c r="E11" s="18" t="s">
        <v>1162</v>
      </c>
      <c r="F11" s="18" t="s">
        <v>1163</v>
      </c>
      <c r="G11" s="18" t="s">
        <v>1164</v>
      </c>
      <c r="H11" s="18" t="s">
        <v>1165</v>
      </c>
      <c r="I11" s="18" t="s">
        <v>1166</v>
      </c>
      <c r="J11" s="18" t="s">
        <v>1167</v>
      </c>
      <c r="K11" s="18" t="s">
        <v>20</v>
      </c>
    </row>
    <row r="12" customFormat="false" ht="23.85" hidden="false" customHeight="false" outlineLevel="0" collapsed="false">
      <c r="A12" s="18" t="s">
        <v>1168</v>
      </c>
      <c r="B12" s="18" t="s">
        <v>1169</v>
      </c>
      <c r="C12" s="18" t="s">
        <v>1170</v>
      </c>
      <c r="D12" s="18" t="s">
        <v>1171</v>
      </c>
      <c r="E12" s="18" t="s">
        <v>1172</v>
      </c>
      <c r="F12" s="18" t="s">
        <v>1173</v>
      </c>
      <c r="G12" s="18" t="s">
        <v>1174</v>
      </c>
      <c r="H12" s="18" t="s">
        <v>1175</v>
      </c>
      <c r="I12" s="18" t="s">
        <v>1176</v>
      </c>
      <c r="J12" s="18" t="s">
        <v>1177</v>
      </c>
      <c r="K12" s="18" t="s">
        <v>20</v>
      </c>
    </row>
    <row r="13" customFormat="false" ht="23.85" hidden="false" customHeight="false" outlineLevel="0" collapsed="false">
      <c r="A13" s="18" t="s">
        <v>1178</v>
      </c>
      <c r="B13" s="18" t="s">
        <v>1179</v>
      </c>
      <c r="C13" s="18" t="s">
        <v>1180</v>
      </c>
      <c r="D13" s="18" t="s">
        <v>1181</v>
      </c>
      <c r="E13" s="18" t="s">
        <v>1182</v>
      </c>
      <c r="F13" s="18" t="s">
        <v>1183</v>
      </c>
      <c r="G13" s="18" t="s">
        <v>1184</v>
      </c>
      <c r="H13" s="18" t="s">
        <v>1185</v>
      </c>
      <c r="I13" s="18" t="s">
        <v>1186</v>
      </c>
      <c r="J13" s="18" t="s">
        <v>1187</v>
      </c>
      <c r="K13" s="18" t="s">
        <v>20</v>
      </c>
    </row>
    <row r="14" customFormat="false" ht="35.05" hidden="false" customHeight="false" outlineLevel="0" collapsed="false">
      <c r="A14" s="18" t="s">
        <v>1188</v>
      </c>
      <c r="B14" s="18" t="s">
        <v>1189</v>
      </c>
      <c r="C14" s="18" t="s">
        <v>1190</v>
      </c>
      <c r="D14" s="18" t="s">
        <v>193</v>
      </c>
      <c r="E14" s="18" t="s">
        <v>1191</v>
      </c>
      <c r="F14" s="18" t="s">
        <v>1192</v>
      </c>
      <c r="G14" s="18" t="s">
        <v>1193</v>
      </c>
      <c r="H14" s="18" t="s">
        <v>1194</v>
      </c>
      <c r="I14" s="18" t="s">
        <v>1195</v>
      </c>
      <c r="J14" s="18" t="s">
        <v>1196</v>
      </c>
      <c r="K14" s="18" t="s">
        <v>20</v>
      </c>
    </row>
    <row r="15" customFormat="false" ht="23.85" hidden="false" customHeight="false" outlineLevel="0" collapsed="false">
      <c r="A15" s="18" t="s">
        <v>1197</v>
      </c>
      <c r="B15" s="18" t="s">
        <v>1198</v>
      </c>
      <c r="C15" s="18" t="s">
        <v>1199</v>
      </c>
      <c r="D15" s="18" t="s">
        <v>1200</v>
      </c>
      <c r="E15" s="18" t="s">
        <v>1201</v>
      </c>
      <c r="F15" s="18" t="s">
        <v>1202</v>
      </c>
      <c r="G15" s="18" t="s">
        <v>1203</v>
      </c>
      <c r="H15" s="18" t="s">
        <v>1204</v>
      </c>
      <c r="I15" s="18" t="s">
        <v>1205</v>
      </c>
      <c r="J15" s="18" t="s">
        <v>1206</v>
      </c>
      <c r="K15" s="18" t="s">
        <v>20</v>
      </c>
    </row>
    <row r="16" customFormat="false" ht="35.05" hidden="false" customHeight="false" outlineLevel="0" collapsed="false">
      <c r="A16" s="18" t="s">
        <v>1207</v>
      </c>
      <c r="B16" s="18" t="s">
        <v>1208</v>
      </c>
      <c r="C16" s="18" t="s">
        <v>1209</v>
      </c>
      <c r="D16" s="18" t="s">
        <v>1210</v>
      </c>
      <c r="E16" s="18" t="s">
        <v>1211</v>
      </c>
      <c r="F16" s="18" t="s">
        <v>1212</v>
      </c>
      <c r="G16" s="18" t="s">
        <v>1213</v>
      </c>
      <c r="H16" s="18" t="s">
        <v>1214</v>
      </c>
      <c r="I16" s="18" t="s">
        <v>1215</v>
      </c>
      <c r="J16" s="18" t="s">
        <v>1216</v>
      </c>
      <c r="K16" s="18" t="s">
        <v>20</v>
      </c>
    </row>
    <row r="17" customFormat="false" ht="23.85" hidden="false" customHeight="false" outlineLevel="0" collapsed="false">
      <c r="A17" s="18" t="s">
        <v>1217</v>
      </c>
      <c r="B17" s="18" t="s">
        <v>302</v>
      </c>
      <c r="C17" s="18" t="s">
        <v>1218</v>
      </c>
      <c r="D17" s="18" t="s">
        <v>1219</v>
      </c>
      <c r="E17" s="18" t="s">
        <v>1220</v>
      </c>
      <c r="F17" s="18" t="s">
        <v>1221</v>
      </c>
      <c r="G17" s="18" t="s">
        <v>1222</v>
      </c>
      <c r="H17" s="18" t="s">
        <v>1223</v>
      </c>
      <c r="I17" s="18" t="s">
        <v>1224</v>
      </c>
      <c r="J17" s="18" t="s">
        <v>1225</v>
      </c>
      <c r="K17" s="18" t="s">
        <v>20</v>
      </c>
    </row>
    <row r="18" customFormat="false" ht="23.85" hidden="false" customHeight="false" outlineLevel="0" collapsed="false">
      <c r="A18" s="18" t="s">
        <v>1226</v>
      </c>
      <c r="B18" s="18" t="s">
        <v>1227</v>
      </c>
      <c r="C18" s="18" t="s">
        <v>1228</v>
      </c>
      <c r="D18" s="18" t="s">
        <v>1229</v>
      </c>
      <c r="E18" s="18" t="s">
        <v>1230</v>
      </c>
      <c r="F18" s="18" t="s">
        <v>1231</v>
      </c>
      <c r="G18" s="18" t="s">
        <v>1232</v>
      </c>
      <c r="H18" s="18" t="s">
        <v>1233</v>
      </c>
      <c r="I18" s="18" t="s">
        <v>1234</v>
      </c>
      <c r="J18" s="18" t="s">
        <v>1235</v>
      </c>
      <c r="K18" s="18" t="s">
        <v>20</v>
      </c>
    </row>
    <row r="19" customFormat="false" ht="35.05" hidden="false" customHeight="false" outlineLevel="0" collapsed="false">
      <c r="A19" s="18" t="s">
        <v>1236</v>
      </c>
      <c r="B19" s="18" t="s">
        <v>1237</v>
      </c>
      <c r="C19" s="18" t="s">
        <v>1238</v>
      </c>
      <c r="D19" s="18" t="s">
        <v>334</v>
      </c>
      <c r="E19" s="18" t="s">
        <v>1239</v>
      </c>
      <c r="F19" s="18" t="s">
        <v>1240</v>
      </c>
      <c r="G19" s="18" t="s">
        <v>1241</v>
      </c>
      <c r="H19" s="18" t="s">
        <v>1242</v>
      </c>
      <c r="I19" s="18" t="s">
        <v>1243</v>
      </c>
      <c r="J19" s="18" t="s">
        <v>1244</v>
      </c>
      <c r="K19" s="18" t="s">
        <v>20</v>
      </c>
    </row>
    <row r="20" customFormat="false" ht="35.05" hidden="false" customHeight="false" outlineLevel="0" collapsed="false">
      <c r="A20" s="18" t="s">
        <v>1245</v>
      </c>
      <c r="B20" s="18" t="s">
        <v>1246</v>
      </c>
      <c r="C20" s="18" t="s">
        <v>1247</v>
      </c>
      <c r="D20" s="18" t="s">
        <v>1248</v>
      </c>
      <c r="E20" s="18" t="s">
        <v>1249</v>
      </c>
      <c r="F20" s="18" t="s">
        <v>1250</v>
      </c>
      <c r="G20" s="18" t="s">
        <v>1251</v>
      </c>
      <c r="H20" s="18" t="s">
        <v>1252</v>
      </c>
      <c r="I20" s="18" t="s">
        <v>1253</v>
      </c>
      <c r="J20" s="18" t="s">
        <v>1254</v>
      </c>
      <c r="K20" s="18" t="s">
        <v>20</v>
      </c>
    </row>
    <row r="21" customFormat="false" ht="23.85" hidden="false" customHeight="false" outlineLevel="0" collapsed="false">
      <c r="A21" s="18" t="s">
        <v>1255</v>
      </c>
      <c r="B21" s="18" t="s">
        <v>1256</v>
      </c>
      <c r="C21" s="18" t="s">
        <v>1257</v>
      </c>
      <c r="D21" s="18" t="s">
        <v>1258</v>
      </c>
      <c r="E21" s="18" t="s">
        <v>1259</v>
      </c>
      <c r="F21" s="18" t="s">
        <v>1260</v>
      </c>
      <c r="G21" s="18" t="s">
        <v>1261</v>
      </c>
      <c r="H21" s="18" t="s">
        <v>1262</v>
      </c>
      <c r="I21" s="18" t="s">
        <v>1263</v>
      </c>
      <c r="J21" s="18" t="s">
        <v>1264</v>
      </c>
      <c r="K21" s="18" t="s">
        <v>20</v>
      </c>
    </row>
    <row r="22" customFormat="false" ht="23.85" hidden="false" customHeight="false" outlineLevel="0" collapsed="false">
      <c r="A22" s="18" t="s">
        <v>1265</v>
      </c>
      <c r="B22" s="18" t="s">
        <v>1266</v>
      </c>
      <c r="C22" s="18" t="s">
        <v>1267</v>
      </c>
      <c r="D22" s="18" t="s">
        <v>1268</v>
      </c>
      <c r="E22" s="18" t="s">
        <v>1269</v>
      </c>
      <c r="F22" s="18" t="s">
        <v>1270</v>
      </c>
      <c r="G22" s="18" t="s">
        <v>1271</v>
      </c>
      <c r="H22" s="18" t="s">
        <v>1272</v>
      </c>
      <c r="I22" s="18" t="s">
        <v>1273</v>
      </c>
      <c r="J22" s="18" t="s">
        <v>1274</v>
      </c>
      <c r="K22" s="18" t="s">
        <v>20</v>
      </c>
    </row>
    <row r="23" customFormat="false" ht="23.85" hidden="false" customHeight="false" outlineLevel="0" collapsed="false">
      <c r="A23" s="18" t="s">
        <v>1275</v>
      </c>
      <c r="B23" s="18" t="s">
        <v>1276</v>
      </c>
      <c r="C23" s="18" t="s">
        <v>1277</v>
      </c>
      <c r="D23" s="18" t="s">
        <v>1278</v>
      </c>
      <c r="E23" s="18" t="s">
        <v>1279</v>
      </c>
      <c r="F23" s="18" t="s">
        <v>1280</v>
      </c>
      <c r="G23" s="18" t="s">
        <v>1281</v>
      </c>
      <c r="H23" s="18" t="s">
        <v>1282</v>
      </c>
      <c r="I23" s="18" t="s">
        <v>1283</v>
      </c>
      <c r="J23" s="18" t="s">
        <v>1284</v>
      </c>
      <c r="K23" s="18" t="s">
        <v>20</v>
      </c>
    </row>
    <row r="24" customFormat="false" ht="35.05" hidden="false" customHeight="false" outlineLevel="0" collapsed="false">
      <c r="A24" s="18" t="s">
        <v>1285</v>
      </c>
      <c r="B24" s="18" t="s">
        <v>1286</v>
      </c>
      <c r="C24" s="18" t="s">
        <v>1287</v>
      </c>
      <c r="D24" s="18" t="s">
        <v>1288</v>
      </c>
      <c r="E24" s="18" t="s">
        <v>1289</v>
      </c>
      <c r="F24" s="18" t="s">
        <v>1290</v>
      </c>
      <c r="G24" s="18" t="s">
        <v>1291</v>
      </c>
      <c r="H24" s="18" t="s">
        <v>1292</v>
      </c>
      <c r="I24" s="18" t="s">
        <v>1293</v>
      </c>
      <c r="J24" s="18" t="s">
        <v>1294</v>
      </c>
      <c r="K24" s="18" t="s">
        <v>20</v>
      </c>
    </row>
    <row r="25" customFormat="false" ht="35.05" hidden="false" customHeight="false" outlineLevel="0" collapsed="false">
      <c r="A25" s="18" t="s">
        <v>1295</v>
      </c>
      <c r="B25" s="18" t="s">
        <v>1296</v>
      </c>
      <c r="C25" s="18" t="s">
        <v>1297</v>
      </c>
      <c r="D25" s="18" t="s">
        <v>1298</v>
      </c>
      <c r="E25" s="18" t="s">
        <v>1299</v>
      </c>
      <c r="F25" s="18" t="s">
        <v>1300</v>
      </c>
      <c r="G25" s="18" t="s">
        <v>1301</v>
      </c>
      <c r="H25" s="18" t="s">
        <v>1302</v>
      </c>
      <c r="I25" s="18" t="s">
        <v>1303</v>
      </c>
      <c r="J25" s="18" t="s">
        <v>1304</v>
      </c>
      <c r="K25" s="18" t="s">
        <v>20</v>
      </c>
    </row>
    <row r="26" customFormat="false" ht="23.85" hidden="false" customHeight="false" outlineLevel="0" collapsed="false">
      <c r="A26" s="18" t="s">
        <v>1305</v>
      </c>
      <c r="B26" s="18" t="s">
        <v>1306</v>
      </c>
      <c r="C26" s="18" t="s">
        <v>1307</v>
      </c>
      <c r="D26" s="18" t="s">
        <v>1308</v>
      </c>
      <c r="E26" s="18" t="s">
        <v>1309</v>
      </c>
      <c r="F26" s="18" t="s">
        <v>1310</v>
      </c>
      <c r="G26" s="18" t="s">
        <v>1311</v>
      </c>
      <c r="H26" s="18" t="s">
        <v>1312</v>
      </c>
      <c r="I26" s="18" t="s">
        <v>1313</v>
      </c>
      <c r="J26" s="18" t="s">
        <v>1314</v>
      </c>
      <c r="K26" s="18" t="s">
        <v>20</v>
      </c>
    </row>
    <row r="27" customFormat="false" ht="23.85" hidden="false" customHeight="false" outlineLevel="0" collapsed="false">
      <c r="A27" s="18" t="s">
        <v>1315</v>
      </c>
      <c r="B27" s="18" t="s">
        <v>1316</v>
      </c>
      <c r="C27" s="18" t="s">
        <v>1317</v>
      </c>
      <c r="D27" s="18" t="s">
        <v>1318</v>
      </c>
      <c r="E27" s="18" t="s">
        <v>1319</v>
      </c>
      <c r="F27" s="18" t="s">
        <v>1320</v>
      </c>
      <c r="G27" s="18" t="s">
        <v>1321</v>
      </c>
      <c r="H27" s="18" t="s">
        <v>1322</v>
      </c>
      <c r="I27" s="18" t="s">
        <v>1323</v>
      </c>
      <c r="J27" s="18" t="s">
        <v>1324</v>
      </c>
      <c r="K27" s="18" t="s">
        <v>20</v>
      </c>
    </row>
    <row r="28" customFormat="false" ht="35.05" hidden="false" customHeight="false" outlineLevel="0" collapsed="false">
      <c r="A28" s="18" t="s">
        <v>1325</v>
      </c>
      <c r="B28" s="18" t="s">
        <v>1326</v>
      </c>
      <c r="C28" s="18" t="s">
        <v>1327</v>
      </c>
      <c r="D28" s="18" t="s">
        <v>1328</v>
      </c>
      <c r="E28" s="18" t="s">
        <v>1329</v>
      </c>
      <c r="F28" s="18" t="s">
        <v>1330</v>
      </c>
      <c r="G28" s="18" t="s">
        <v>1331</v>
      </c>
      <c r="H28" s="18" t="s">
        <v>1332</v>
      </c>
      <c r="I28" s="18" t="s">
        <v>1333</v>
      </c>
      <c r="J28" s="18" t="s">
        <v>1334</v>
      </c>
      <c r="K28" s="18" t="s">
        <v>20</v>
      </c>
    </row>
    <row r="29" customFormat="false" ht="23.85" hidden="false" customHeight="false" outlineLevel="0" collapsed="false">
      <c r="A29" s="18" t="s">
        <v>1335</v>
      </c>
      <c r="B29" s="18" t="s">
        <v>1336</v>
      </c>
      <c r="C29" s="18" t="s">
        <v>1337</v>
      </c>
      <c r="D29" s="18" t="s">
        <v>1338</v>
      </c>
      <c r="E29" s="18" t="s">
        <v>1339</v>
      </c>
      <c r="F29" s="18" t="s">
        <v>1340</v>
      </c>
      <c r="G29" s="18" t="s">
        <v>1341</v>
      </c>
      <c r="H29" s="18" t="s">
        <v>1342</v>
      </c>
      <c r="I29" s="18" t="s">
        <v>1343</v>
      </c>
      <c r="J29" s="18" t="s">
        <v>1344</v>
      </c>
      <c r="K29" s="18" t="s">
        <v>20</v>
      </c>
    </row>
    <row r="30" customFormat="false" ht="23.85" hidden="false" customHeight="false" outlineLevel="0" collapsed="false">
      <c r="A30" s="18" t="s">
        <v>1345</v>
      </c>
      <c r="B30" s="18" t="s">
        <v>1346</v>
      </c>
      <c r="C30" s="18" t="s">
        <v>1347</v>
      </c>
      <c r="D30" s="18" t="s">
        <v>1348</v>
      </c>
      <c r="E30" s="18" t="s">
        <v>1349</v>
      </c>
      <c r="F30" s="18" t="s">
        <v>1350</v>
      </c>
      <c r="G30" s="18" t="s">
        <v>1351</v>
      </c>
      <c r="H30" s="18" t="s">
        <v>1352</v>
      </c>
      <c r="I30" s="18" t="s">
        <v>1353</v>
      </c>
      <c r="J30" s="18" t="s">
        <v>1354</v>
      </c>
      <c r="K30" s="18" t="s">
        <v>20</v>
      </c>
    </row>
    <row r="31" customFormat="false" ht="46.25" hidden="false" customHeight="false" outlineLevel="0" collapsed="false">
      <c r="A31" s="18" t="s">
        <v>1355</v>
      </c>
      <c r="B31" s="18" t="s">
        <v>1356</v>
      </c>
      <c r="C31" s="18" t="s">
        <v>1357</v>
      </c>
      <c r="D31" s="18" t="s">
        <v>1358</v>
      </c>
      <c r="E31" s="18" t="s">
        <v>1359</v>
      </c>
      <c r="F31" s="18" t="s">
        <v>1360</v>
      </c>
      <c r="G31" s="18" t="s">
        <v>1361</v>
      </c>
      <c r="H31" s="18" t="s">
        <v>1362</v>
      </c>
      <c r="I31" s="18" t="s">
        <v>1363</v>
      </c>
      <c r="J31" s="18" t="s">
        <v>1364</v>
      </c>
      <c r="K31" s="18" t="s">
        <v>20</v>
      </c>
    </row>
    <row r="32" customFormat="false" ht="23.85" hidden="false" customHeight="false" outlineLevel="0" collapsed="false">
      <c r="A32" s="18" t="s">
        <v>1365</v>
      </c>
      <c r="B32" s="18" t="s">
        <v>1366</v>
      </c>
      <c r="C32" s="18" t="s">
        <v>1367</v>
      </c>
      <c r="D32" s="18" t="s">
        <v>1368</v>
      </c>
      <c r="E32" s="18" t="s">
        <v>1369</v>
      </c>
      <c r="F32" s="18" t="s">
        <v>1370</v>
      </c>
      <c r="G32" s="18" t="s">
        <v>1371</v>
      </c>
      <c r="H32" s="18" t="s">
        <v>1372</v>
      </c>
      <c r="I32" s="18" t="s">
        <v>1373</v>
      </c>
      <c r="J32" s="18" t="s">
        <v>1374</v>
      </c>
      <c r="K32" s="18" t="s">
        <v>20</v>
      </c>
    </row>
    <row r="33" customFormat="false" ht="35.05" hidden="false" customHeight="false" outlineLevel="0" collapsed="false">
      <c r="A33" s="18" t="s">
        <v>1375</v>
      </c>
      <c r="B33" s="18" t="s">
        <v>1376</v>
      </c>
      <c r="C33" s="18" t="s">
        <v>1377</v>
      </c>
      <c r="D33" s="18" t="s">
        <v>1378</v>
      </c>
      <c r="E33" s="18" t="s">
        <v>1379</v>
      </c>
      <c r="F33" s="18" t="s">
        <v>1380</v>
      </c>
      <c r="G33" s="18" t="s">
        <v>1381</v>
      </c>
      <c r="H33" s="18" t="s">
        <v>1382</v>
      </c>
      <c r="I33" s="18" t="s">
        <v>1383</v>
      </c>
      <c r="J33" s="18" t="s">
        <v>1384</v>
      </c>
      <c r="K33" s="18" t="s">
        <v>20</v>
      </c>
    </row>
    <row r="34" customFormat="false" ht="35.05" hidden="false" customHeight="false" outlineLevel="0" collapsed="false">
      <c r="A34" s="18" t="s">
        <v>1385</v>
      </c>
      <c r="B34" s="18" t="s">
        <v>1386</v>
      </c>
      <c r="C34" s="18" t="s">
        <v>1387</v>
      </c>
      <c r="D34" s="18" t="s">
        <v>1388</v>
      </c>
      <c r="E34" s="18" t="s">
        <v>1389</v>
      </c>
      <c r="F34" s="18" t="s">
        <v>1390</v>
      </c>
      <c r="G34" s="18" t="s">
        <v>1391</v>
      </c>
      <c r="H34" s="18" t="s">
        <v>1392</v>
      </c>
      <c r="I34" s="18" t="s">
        <v>1393</v>
      </c>
      <c r="J34" s="18" t="s">
        <v>1394</v>
      </c>
      <c r="K34" s="18" t="s">
        <v>20</v>
      </c>
    </row>
    <row r="35" customFormat="false" ht="23.85" hidden="false" customHeight="false" outlineLevel="0" collapsed="false">
      <c r="A35" s="18" t="s">
        <v>1395</v>
      </c>
      <c r="B35" s="18" t="s">
        <v>1396</v>
      </c>
      <c r="C35" s="18" t="s">
        <v>1397</v>
      </c>
      <c r="D35" s="18" t="s">
        <v>1398</v>
      </c>
      <c r="E35" s="18" t="s">
        <v>1399</v>
      </c>
      <c r="F35" s="18" t="s">
        <v>1400</v>
      </c>
      <c r="G35" s="18" t="s">
        <v>1401</v>
      </c>
      <c r="H35" s="18" t="s">
        <v>1402</v>
      </c>
      <c r="I35" s="18" t="s">
        <v>1403</v>
      </c>
      <c r="J35" s="18" t="s">
        <v>1404</v>
      </c>
      <c r="K35" s="18" t="s">
        <v>20</v>
      </c>
    </row>
    <row r="36" customFormat="false" ht="35.05" hidden="false" customHeight="false" outlineLevel="0" collapsed="false">
      <c r="A36" s="18" t="s">
        <v>1405</v>
      </c>
      <c r="B36" s="18" t="s">
        <v>1406</v>
      </c>
      <c r="C36" s="18" t="s">
        <v>1407</v>
      </c>
      <c r="D36" s="18" t="s">
        <v>1408</v>
      </c>
      <c r="E36" s="18" t="s">
        <v>1409</v>
      </c>
      <c r="F36" s="18" t="s">
        <v>1410</v>
      </c>
      <c r="G36" s="18" t="s">
        <v>1411</v>
      </c>
      <c r="H36" s="18" t="s">
        <v>1412</v>
      </c>
      <c r="I36" s="18" t="s">
        <v>1413</v>
      </c>
      <c r="J36" s="18" t="s">
        <v>1414</v>
      </c>
      <c r="K36" s="18" t="s">
        <v>20</v>
      </c>
    </row>
    <row r="37" customFormat="false" ht="35.05" hidden="false" customHeight="false" outlineLevel="0" collapsed="false">
      <c r="A37" s="18" t="s">
        <v>1415</v>
      </c>
      <c r="B37" s="18" t="s">
        <v>1416</v>
      </c>
      <c r="C37" s="18" t="s">
        <v>1417</v>
      </c>
      <c r="D37" s="18" t="s">
        <v>1418</v>
      </c>
      <c r="E37" s="18" t="s">
        <v>1419</v>
      </c>
      <c r="F37" s="18" t="s">
        <v>1420</v>
      </c>
      <c r="G37" s="18" t="s">
        <v>1421</v>
      </c>
      <c r="H37" s="18" t="s">
        <v>1422</v>
      </c>
      <c r="I37" s="18" t="s">
        <v>1423</v>
      </c>
      <c r="J37" s="18" t="s">
        <v>1424</v>
      </c>
      <c r="K37" s="18" t="s">
        <v>20</v>
      </c>
    </row>
    <row r="40" customFormat="false" ht="15" hidden="false" customHeight="false" outlineLevel="0" collapsed="false">
      <c r="A40" s="30" t="s">
        <v>1425</v>
      </c>
    </row>
    <row r="41" customFormat="false" ht="21.75" hidden="false" customHeight="true" outlineLevel="0" collapsed="false">
      <c r="A41" s="17" t="s">
        <v>1426</v>
      </c>
      <c r="B41" s="17" t="s">
        <v>1427</v>
      </c>
      <c r="C41" s="17" t="s">
        <v>1428</v>
      </c>
      <c r="D41" s="17" t="s">
        <v>1429</v>
      </c>
      <c r="E41" s="17" t="s">
        <v>1430</v>
      </c>
      <c r="F41" s="17" t="s">
        <v>1431</v>
      </c>
    </row>
    <row r="42" customFormat="false" ht="35.05" hidden="false" customHeight="false" outlineLevel="0" collapsed="false">
      <c r="A42" s="18" t="n">
        <v>1</v>
      </c>
      <c r="B42" s="18" t="s">
        <v>1432</v>
      </c>
      <c r="C42" s="18" t="s">
        <v>1433</v>
      </c>
      <c r="D42" s="18" t="s">
        <v>1434</v>
      </c>
      <c r="E42" s="18" t="s">
        <v>1435</v>
      </c>
      <c r="F42" s="18" t="s">
        <v>1436</v>
      </c>
    </row>
    <row r="43" customFormat="false" ht="23.85" hidden="false" customHeight="false" outlineLevel="0" collapsed="false">
      <c r="A43" s="18" t="n">
        <v>2</v>
      </c>
      <c r="B43" s="18" t="s">
        <v>1437</v>
      </c>
      <c r="C43" s="18" t="s">
        <v>1438</v>
      </c>
      <c r="D43" s="18" t="s">
        <v>1439</v>
      </c>
      <c r="E43" s="18" t="s">
        <v>1440</v>
      </c>
      <c r="F43" s="18" t="s">
        <v>1441</v>
      </c>
    </row>
    <row r="44" customFormat="false" ht="35.05" hidden="false" customHeight="false" outlineLevel="0" collapsed="false">
      <c r="A44" s="18" t="n">
        <v>3</v>
      </c>
      <c r="B44" s="18" t="s">
        <v>1442</v>
      </c>
      <c r="C44" s="18" t="s">
        <v>1443</v>
      </c>
      <c r="D44" s="18" t="s">
        <v>1444</v>
      </c>
      <c r="E44" s="18" t="s">
        <v>1445</v>
      </c>
      <c r="F44" s="18" t="s">
        <v>1446</v>
      </c>
    </row>
    <row r="45" customFormat="false" ht="23.85" hidden="false" customHeight="false" outlineLevel="0" collapsed="false">
      <c r="A45" s="18" t="n">
        <v>4</v>
      </c>
      <c r="B45" s="18" t="s">
        <v>1447</v>
      </c>
      <c r="C45" s="18" t="s">
        <v>1448</v>
      </c>
      <c r="D45" s="18" t="s">
        <v>1449</v>
      </c>
      <c r="E45" s="18" t="s">
        <v>1450</v>
      </c>
      <c r="F45" s="18" t="s">
        <v>1451</v>
      </c>
    </row>
    <row r="48" customFormat="false" ht="15" hidden="false" customHeight="false" outlineLevel="0" collapsed="false">
      <c r="A48" s="30" t="s">
        <v>1452</v>
      </c>
    </row>
    <row r="49" customFormat="false" ht="21.75" hidden="false" customHeight="true" outlineLevel="0" collapsed="false">
      <c r="A49" s="17" t="s">
        <v>1426</v>
      </c>
      <c r="B49" s="17" t="s">
        <v>1453</v>
      </c>
      <c r="C49" s="17" t="s">
        <v>1454</v>
      </c>
    </row>
    <row r="50" customFormat="false" ht="23.85" hidden="false" customHeight="false" outlineLevel="0" collapsed="false">
      <c r="A50" s="18" t="n">
        <v>1</v>
      </c>
      <c r="B50" s="18" t="s">
        <v>1455</v>
      </c>
      <c r="C50" s="18" t="s">
        <v>1456</v>
      </c>
    </row>
    <row r="51" customFormat="false" ht="15" hidden="false" customHeight="false" outlineLevel="0" collapsed="false">
      <c r="A51" s="18" t="n">
        <v>2</v>
      </c>
      <c r="B51" s="18" t="s">
        <v>1457</v>
      </c>
      <c r="C51" s="18" t="s">
        <v>1458</v>
      </c>
    </row>
    <row r="52" customFormat="false" ht="15" hidden="false" customHeight="false" outlineLevel="0" collapsed="false">
      <c r="A52" s="18" t="n">
        <v>3</v>
      </c>
      <c r="B52" s="18" t="s">
        <v>1459</v>
      </c>
      <c r="C52" s="18" t="s">
        <v>1460</v>
      </c>
    </row>
    <row r="53" customFormat="false" ht="23.85" hidden="false" customHeight="false" outlineLevel="0" collapsed="false">
      <c r="A53" s="18" t="n">
        <v>4</v>
      </c>
      <c r="B53" s="18" t="s">
        <v>1461</v>
      </c>
      <c r="C53" s="18" t="s">
        <v>1462</v>
      </c>
    </row>
    <row r="54" customFormat="false" ht="23.85" hidden="false" customHeight="false" outlineLevel="0" collapsed="false">
      <c r="A54" s="18" t="n">
        <v>5</v>
      </c>
      <c r="B54" s="18" t="s">
        <v>1463</v>
      </c>
      <c r="C54" s="18" t="s">
        <v>1464</v>
      </c>
    </row>
    <row r="55" customFormat="false" ht="15" hidden="false" customHeight="false" outlineLevel="0" collapsed="false">
      <c r="A55" s="18" t="n">
        <v>6</v>
      </c>
      <c r="B55" s="18" t="s">
        <v>1465</v>
      </c>
      <c r="C55" s="18" t="s">
        <v>1466</v>
      </c>
    </row>
    <row r="56" customFormat="false" ht="23.85" hidden="false" customHeight="false" outlineLevel="0" collapsed="false">
      <c r="A56" s="18" t="n">
        <v>7</v>
      </c>
      <c r="B56" s="18" t="s">
        <v>1467</v>
      </c>
      <c r="C56" s="18" t="s">
        <v>1468</v>
      </c>
    </row>
    <row r="57" customFormat="false" ht="15" hidden="false" customHeight="false" outlineLevel="0" collapsed="false">
      <c r="A57" s="18" t="n">
        <v>8</v>
      </c>
      <c r="B57" s="18" t="s">
        <v>1469</v>
      </c>
      <c r="C57" s="18" t="s">
        <v>1470</v>
      </c>
    </row>
  </sheetData>
  <autoFilter ref="A4:K37"/>
  <conditionalFormatting sqref="K5:K37">
    <cfRule type="cellIs" priority="2" operator="equal" aboveAverage="0" equalAverage="0" bottom="0" percent="0" rank="0" text="" dxfId="10">
      <formula>"Verified"</formula>
    </cfRule>
    <cfRule type="cellIs" priority="3" operator="equal" aboveAverage="0" equalAverage="0" bottom="0" percent="0" rank="0" text="" dxfId="11">
      <formula>"Conditionally verified"</formula>
    </cfRule>
    <cfRule type="cellIs" priority="4" operator="equal" aboveAverage="0" equalAverage="0" bottom="0" percent="0" rank="0" text="" dxfId="12">
      <formula>"Incorrect"</formula>
    </cfRule>
    <cfRule type="cellIs" priority="5" operator="equal" aboveAverage="0" equalAverage="0" bottom="0" percent="0" rank="0" text="" dxfId="13">
      <formula>"Unverified"</formula>
    </cfRule>
    <cfRule type="cellIs" priority="6" operator="equal" aboveAverage="0" equalAverage="0" bottom="0" percent="0" rank="0" text="" dxfId="14">
      <formula>"Not applicable (gap list)"</formula>
    </cfRule>
  </conditionalFormatting>
  <dataValidations count="1">
    <dataValidation allowBlank="true" errorStyle="stop" operator="between" showDropDown="false" showErrorMessage="false" showInputMessage="false" sqref="K5:K37" type="list">
      <formula1>"Verified,Conditionally verified,Incorrect,Unverified"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7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1471</v>
      </c>
    </row>
    <row r="2" customFormat="false" ht="15" hidden="false" customHeight="false" outlineLevel="0" collapsed="false">
      <c r="A2" s="16" t="s">
        <v>1472</v>
      </c>
    </row>
    <row r="4" customFormat="false" ht="42" hidden="false" customHeight="true" outlineLevel="0" collapsed="false">
      <c r="A4" s="17" t="s">
        <v>1473</v>
      </c>
      <c r="B4" s="17" t="s">
        <v>1474</v>
      </c>
      <c r="C4" s="17" t="s">
        <v>1475</v>
      </c>
      <c r="D4" s="17" t="s">
        <v>1476</v>
      </c>
      <c r="E4" s="17" t="s">
        <v>1477</v>
      </c>
      <c r="F4" s="17" t="s">
        <v>1478</v>
      </c>
      <c r="G4" s="17" t="s">
        <v>1479</v>
      </c>
      <c r="H4" s="17" t="s">
        <v>1480</v>
      </c>
    </row>
    <row r="5" customFormat="false" ht="15" hidden="false" customHeight="false" outlineLevel="0" collapsed="false">
      <c r="A5" s="31" t="s">
        <v>1481</v>
      </c>
      <c r="B5" s="31" t="s">
        <v>1482</v>
      </c>
      <c r="C5" s="32"/>
      <c r="D5" s="32"/>
      <c r="E5" s="32"/>
      <c r="F5" s="32"/>
      <c r="G5" s="33" t="s">
        <v>1483</v>
      </c>
      <c r="H5" s="32"/>
    </row>
    <row r="6" customFormat="false" ht="15" hidden="false" customHeight="false" outlineLevel="0" collapsed="false">
      <c r="B6" s="7" t="s">
        <v>1484</v>
      </c>
      <c r="G6" s="34" t="s">
        <v>1485</v>
      </c>
    </row>
    <row r="7" customFormat="false" ht="15" hidden="false" customHeight="false" outlineLevel="0" collapsed="false">
      <c r="A7" s="18" t="s">
        <v>1481</v>
      </c>
      <c r="B7" s="18" t="s">
        <v>1486</v>
      </c>
      <c r="C7" s="18" t="s">
        <v>1487</v>
      </c>
      <c r="D7" s="35" t="n">
        <v>0.785</v>
      </c>
      <c r="E7" s="18" t="s">
        <v>1488</v>
      </c>
      <c r="F7" s="18" t="s">
        <v>1489</v>
      </c>
      <c r="G7" s="18" t="s">
        <v>1490</v>
      </c>
      <c r="H7" s="18"/>
    </row>
    <row r="8" customFormat="false" ht="15" hidden="false" customHeight="false" outlineLevel="0" collapsed="false">
      <c r="A8" s="18" t="s">
        <v>1481</v>
      </c>
      <c r="B8" s="18" t="s">
        <v>1491</v>
      </c>
      <c r="C8" s="18" t="s">
        <v>1492</v>
      </c>
      <c r="D8" s="35" t="n">
        <v>0.1</v>
      </c>
      <c r="E8" s="18" t="s">
        <v>1487</v>
      </c>
      <c r="F8" s="18" t="s">
        <v>1489</v>
      </c>
      <c r="G8" s="18"/>
      <c r="H8" s="18"/>
    </row>
    <row r="9" customFormat="false" ht="15" hidden="false" customHeight="false" outlineLevel="0" collapsed="false">
      <c r="A9" s="18" t="s">
        <v>1481</v>
      </c>
      <c r="B9" s="18" t="s">
        <v>1493</v>
      </c>
      <c r="C9" s="18" t="s">
        <v>1494</v>
      </c>
      <c r="D9" s="35" t="n">
        <v>0.05</v>
      </c>
      <c r="E9" s="18" t="s">
        <v>1487</v>
      </c>
      <c r="F9" s="18" t="s">
        <v>1489</v>
      </c>
      <c r="G9" s="18"/>
      <c r="H9" s="18"/>
    </row>
    <row r="10" customFormat="false" ht="15" hidden="false" customHeight="false" outlineLevel="0" collapsed="false">
      <c r="A10" s="18" t="s">
        <v>1481</v>
      </c>
      <c r="B10" s="18" t="s">
        <v>1495</v>
      </c>
      <c r="C10" s="18" t="s">
        <v>1496</v>
      </c>
      <c r="D10" s="35" t="n">
        <v>0.02</v>
      </c>
      <c r="E10" s="18" t="s">
        <v>1487</v>
      </c>
      <c r="F10" s="18" t="s">
        <v>1489</v>
      </c>
      <c r="G10" s="18"/>
      <c r="H10" s="18"/>
    </row>
    <row r="11" customFormat="false" ht="15" hidden="false" customHeight="false" outlineLevel="0" collapsed="false">
      <c r="A11" s="18" t="s">
        <v>1481</v>
      </c>
      <c r="B11" s="18" t="s">
        <v>1497</v>
      </c>
      <c r="C11" s="18" t="s">
        <v>1498</v>
      </c>
      <c r="D11" s="19" t="n">
        <f aca="false">D8*D9*D10</f>
        <v>0.0001</v>
      </c>
      <c r="E11" s="18" t="s">
        <v>1499</v>
      </c>
      <c r="F11" s="18" t="s">
        <v>1500</v>
      </c>
      <c r="G11" s="18" t="s">
        <v>1501</v>
      </c>
      <c r="H11" s="18"/>
    </row>
    <row r="12" customFormat="false" ht="15" hidden="false" customHeight="false" outlineLevel="0" collapsed="false">
      <c r="A12" s="18" t="s">
        <v>1481</v>
      </c>
      <c r="B12" s="18" t="s">
        <v>1502</v>
      </c>
      <c r="C12" s="18" t="s">
        <v>1503</v>
      </c>
      <c r="D12" s="19" t="n">
        <f aca="false">D7/D11</f>
        <v>7850</v>
      </c>
      <c r="E12" s="18" t="s">
        <v>1504</v>
      </c>
      <c r="F12" s="18" t="s">
        <v>1500</v>
      </c>
      <c r="G12" s="18" t="s">
        <v>1505</v>
      </c>
      <c r="H12" s="18"/>
    </row>
    <row r="13" customFormat="false" ht="15" hidden="false" customHeight="false" outlineLevel="0" collapsed="false">
      <c r="A13" s="18" t="s">
        <v>1481</v>
      </c>
      <c r="B13" s="18" t="s">
        <v>1506</v>
      </c>
      <c r="C13" s="18" t="s">
        <v>1503</v>
      </c>
      <c r="D13" s="19" t="n">
        <f aca="false">D12/1000</f>
        <v>7.85</v>
      </c>
      <c r="E13" s="18" t="s">
        <v>1507</v>
      </c>
      <c r="F13" s="18" t="s">
        <v>1500</v>
      </c>
      <c r="G13" s="18" t="s">
        <v>1508</v>
      </c>
      <c r="H13" s="18"/>
    </row>
    <row r="14" customFormat="false" ht="15" hidden="false" customHeight="false" outlineLevel="0" collapsed="false">
      <c r="A14" s="18" t="s">
        <v>1481</v>
      </c>
      <c r="B14" s="18" t="s">
        <v>1509</v>
      </c>
      <c r="C14" s="18" t="s">
        <v>1510</v>
      </c>
      <c r="D14" s="19" t="n">
        <f aca="false">(D7*1000)/((D8*100)*(D9*100)*(D10*100))</f>
        <v>7.85</v>
      </c>
      <c r="E14" s="18" t="s">
        <v>1507</v>
      </c>
      <c r="F14" s="18" t="s">
        <v>1511</v>
      </c>
      <c r="G14" s="18" t="s">
        <v>1512</v>
      </c>
      <c r="H14" s="18"/>
    </row>
    <row r="15" customFormat="false" ht="15" hidden="false" customHeight="false" outlineLevel="0" collapsed="false">
      <c r="A15" s="18" t="s">
        <v>1481</v>
      </c>
      <c r="B15" s="18" t="s">
        <v>1513</v>
      </c>
      <c r="C15" s="18" t="s">
        <v>1514</v>
      </c>
      <c r="D15" s="35" t="n">
        <v>0.005</v>
      </c>
      <c r="E15" s="18" t="s">
        <v>1515</v>
      </c>
      <c r="F15" s="18" t="s">
        <v>1489</v>
      </c>
      <c r="G15" s="18" t="s">
        <v>1516</v>
      </c>
      <c r="H15" s="18"/>
    </row>
    <row r="16" customFormat="false" ht="15" hidden="false" customHeight="false" outlineLevel="0" collapsed="false">
      <c r="A16" s="18" t="s">
        <v>1481</v>
      </c>
      <c r="B16" s="18" t="s">
        <v>1517</v>
      </c>
      <c r="C16" s="18" t="s">
        <v>1518</v>
      </c>
      <c r="D16" s="36" t="n">
        <f aca="false">ABS(D14-D13)/ABS(D13)</f>
        <v>0</v>
      </c>
      <c r="E16" s="18" t="s">
        <v>1515</v>
      </c>
      <c r="F16" s="18" t="s">
        <v>1480</v>
      </c>
      <c r="G16" s="18" t="s">
        <v>1519</v>
      </c>
      <c r="H16" s="18" t="str">
        <f aca="false">IF(D16&lt;=D15,"Verified","Incorrect")</f>
        <v>Verified</v>
      </c>
    </row>
    <row r="18" customFormat="false" ht="15" hidden="false" customHeight="false" outlineLevel="0" collapsed="false">
      <c r="A18" s="31" t="s">
        <v>1520</v>
      </c>
      <c r="B18" s="31" t="s">
        <v>1521</v>
      </c>
      <c r="C18" s="32"/>
      <c r="D18" s="32"/>
      <c r="E18" s="32"/>
      <c r="F18" s="32"/>
      <c r="G18" s="33" t="s">
        <v>1522</v>
      </c>
      <c r="H18" s="32"/>
    </row>
    <row r="19" customFormat="false" ht="23.85" hidden="false" customHeight="false" outlineLevel="0" collapsed="false">
      <c r="B19" s="7" t="s">
        <v>1484</v>
      </c>
      <c r="G19" s="34" t="s">
        <v>1523</v>
      </c>
    </row>
    <row r="20" customFormat="false" ht="15" hidden="false" customHeight="false" outlineLevel="0" collapsed="false">
      <c r="A20" s="18" t="s">
        <v>1520</v>
      </c>
      <c r="B20" s="18" t="s">
        <v>1524</v>
      </c>
      <c r="C20" s="18" t="s">
        <v>1525</v>
      </c>
      <c r="D20" s="35" t="n">
        <v>1</v>
      </c>
      <c r="E20" s="18" t="s">
        <v>1487</v>
      </c>
      <c r="F20" s="18" t="s">
        <v>1489</v>
      </c>
      <c r="G20" s="18" t="s">
        <v>1526</v>
      </c>
      <c r="H20" s="18"/>
    </row>
    <row r="21" customFormat="false" ht="15" hidden="false" customHeight="false" outlineLevel="0" collapsed="false">
      <c r="A21" s="18" t="s">
        <v>1520</v>
      </c>
      <c r="B21" s="18" t="s">
        <v>1527</v>
      </c>
      <c r="C21" s="18" t="s">
        <v>1528</v>
      </c>
      <c r="D21" s="37" t="n">
        <f aca="false">'Material Properties'!Q37</f>
        <v>23.6</v>
      </c>
      <c r="E21" s="18" t="s">
        <v>1529</v>
      </c>
      <c r="F21" s="18" t="s">
        <v>1530</v>
      </c>
      <c r="G21" s="18" t="s">
        <v>1530</v>
      </c>
      <c r="H21" s="18"/>
    </row>
    <row r="22" customFormat="false" ht="15" hidden="false" customHeight="false" outlineLevel="0" collapsed="false">
      <c r="A22" s="18" t="s">
        <v>1520</v>
      </c>
      <c r="B22" s="18" t="s">
        <v>1531</v>
      </c>
      <c r="C22" s="18" t="s">
        <v>1532</v>
      </c>
      <c r="D22" s="35" t="n">
        <v>80</v>
      </c>
      <c r="E22" s="18" t="s">
        <v>1533</v>
      </c>
      <c r="F22" s="18" t="s">
        <v>1489</v>
      </c>
      <c r="G22" s="18" t="s">
        <v>1534</v>
      </c>
      <c r="H22" s="18"/>
    </row>
    <row r="23" customFormat="false" ht="15" hidden="false" customHeight="false" outlineLevel="0" collapsed="false">
      <c r="A23" s="18" t="s">
        <v>1520</v>
      </c>
      <c r="B23" s="18" t="s">
        <v>1535</v>
      </c>
      <c r="C23" s="18" t="s">
        <v>1536</v>
      </c>
      <c r="D23" s="19" t="n">
        <f aca="false">D21*0.000001*D20*D22</f>
        <v>0.001888</v>
      </c>
      <c r="E23" s="18" t="s">
        <v>1487</v>
      </c>
      <c r="F23" s="18" t="s">
        <v>1500</v>
      </c>
      <c r="G23" s="18" t="s">
        <v>1537</v>
      </c>
      <c r="H23" s="18"/>
    </row>
    <row r="24" customFormat="false" ht="15" hidden="false" customHeight="false" outlineLevel="0" collapsed="false">
      <c r="A24" s="18" t="s">
        <v>1520</v>
      </c>
      <c r="B24" s="18" t="s">
        <v>1535</v>
      </c>
      <c r="C24" s="18" t="s">
        <v>1536</v>
      </c>
      <c r="D24" s="19" t="n">
        <f aca="false">D23*1000</f>
        <v>1.888</v>
      </c>
      <c r="E24" s="18" t="s">
        <v>1538</v>
      </c>
      <c r="F24" s="18" t="s">
        <v>1500</v>
      </c>
      <c r="G24" s="18"/>
      <c r="H24" s="18"/>
    </row>
    <row r="25" customFormat="false" ht="15" hidden="false" customHeight="false" outlineLevel="0" collapsed="false">
      <c r="A25" s="18" t="s">
        <v>1520</v>
      </c>
      <c r="B25" s="18" t="s">
        <v>1539</v>
      </c>
      <c r="C25" s="18" t="s">
        <v>1540</v>
      </c>
      <c r="D25" s="19" t="n">
        <f aca="false">D21*D20*D22/1000</f>
        <v>1.888</v>
      </c>
      <c r="E25" s="18" t="s">
        <v>1538</v>
      </c>
      <c r="F25" s="18" t="s">
        <v>1511</v>
      </c>
      <c r="G25" s="18" t="s">
        <v>1541</v>
      </c>
      <c r="H25" s="18"/>
    </row>
    <row r="26" customFormat="false" ht="15" hidden="false" customHeight="false" outlineLevel="0" collapsed="false">
      <c r="A26" s="18" t="s">
        <v>1520</v>
      </c>
      <c r="B26" s="18" t="s">
        <v>1513</v>
      </c>
      <c r="C26" s="18" t="s">
        <v>1514</v>
      </c>
      <c r="D26" s="35" t="n">
        <v>0.005</v>
      </c>
      <c r="E26" s="18" t="s">
        <v>1515</v>
      </c>
      <c r="F26" s="18" t="s">
        <v>1489</v>
      </c>
      <c r="G26" s="18" t="s">
        <v>1516</v>
      </c>
      <c r="H26" s="18"/>
    </row>
    <row r="27" customFormat="false" ht="15" hidden="false" customHeight="false" outlineLevel="0" collapsed="false">
      <c r="A27" s="18" t="s">
        <v>1520</v>
      </c>
      <c r="B27" s="18" t="s">
        <v>1542</v>
      </c>
      <c r="C27" s="18" t="s">
        <v>1518</v>
      </c>
      <c r="D27" s="36" t="n">
        <f aca="false">ABS(D25-D24)/ABS(D24)</f>
        <v>0</v>
      </c>
      <c r="E27" s="18" t="s">
        <v>1515</v>
      </c>
      <c r="F27" s="18" t="s">
        <v>1480</v>
      </c>
      <c r="G27" s="18" t="s">
        <v>1519</v>
      </c>
      <c r="H27" s="18" t="str">
        <f aca="false">IF(D27&lt;=D26,"Verified","Incorrect")</f>
        <v>Verified</v>
      </c>
    </row>
    <row r="29" customFormat="false" ht="15" hidden="false" customHeight="false" outlineLevel="0" collapsed="false">
      <c r="A29" s="31" t="s">
        <v>1543</v>
      </c>
      <c r="B29" s="31" t="s">
        <v>1544</v>
      </c>
      <c r="C29" s="32"/>
      <c r="D29" s="32"/>
      <c r="E29" s="32"/>
      <c r="F29" s="32"/>
      <c r="G29" s="33" t="s">
        <v>1545</v>
      </c>
      <c r="H29" s="32"/>
    </row>
    <row r="30" customFormat="false" ht="15" hidden="false" customHeight="false" outlineLevel="0" collapsed="false">
      <c r="B30" s="7" t="s">
        <v>1484</v>
      </c>
      <c r="G30" s="34" t="s">
        <v>1546</v>
      </c>
    </row>
    <row r="31" customFormat="false" ht="15" hidden="false" customHeight="false" outlineLevel="0" collapsed="false">
      <c r="A31" s="18" t="s">
        <v>1543</v>
      </c>
      <c r="B31" s="18" t="s">
        <v>1547</v>
      </c>
      <c r="C31" s="18" t="s">
        <v>1548</v>
      </c>
      <c r="D31" s="38" t="n">
        <v>1.7241E-008</v>
      </c>
      <c r="E31" s="18" t="s">
        <v>1549</v>
      </c>
      <c r="F31" s="18" t="s">
        <v>1489</v>
      </c>
      <c r="G31" s="18" t="s">
        <v>1550</v>
      </c>
      <c r="H31" s="18"/>
    </row>
    <row r="32" customFormat="false" ht="15" hidden="false" customHeight="false" outlineLevel="0" collapsed="false">
      <c r="A32" s="18" t="s">
        <v>1543</v>
      </c>
      <c r="B32" s="18" t="s">
        <v>1491</v>
      </c>
      <c r="C32" s="18" t="s">
        <v>1551</v>
      </c>
      <c r="D32" s="35" t="n">
        <v>100</v>
      </c>
      <c r="E32" s="18" t="s">
        <v>1487</v>
      </c>
      <c r="F32" s="18" t="s">
        <v>1489</v>
      </c>
      <c r="G32" s="18" t="s">
        <v>1534</v>
      </c>
      <c r="H32" s="18"/>
    </row>
    <row r="33" customFormat="false" ht="15" hidden="false" customHeight="false" outlineLevel="0" collapsed="false">
      <c r="A33" s="18" t="s">
        <v>1543</v>
      </c>
      <c r="B33" s="18" t="s">
        <v>1552</v>
      </c>
      <c r="C33" s="18" t="s">
        <v>1553</v>
      </c>
      <c r="D33" s="35" t="n">
        <v>0.002</v>
      </c>
      <c r="E33" s="18" t="s">
        <v>1487</v>
      </c>
      <c r="F33" s="18" t="s">
        <v>1489</v>
      </c>
      <c r="G33" s="18" t="s">
        <v>1534</v>
      </c>
      <c r="H33" s="18"/>
    </row>
    <row r="34" customFormat="false" ht="15" hidden="false" customHeight="false" outlineLevel="0" collapsed="false">
      <c r="A34" s="18" t="s">
        <v>1543</v>
      </c>
      <c r="B34" s="18" t="s">
        <v>1554</v>
      </c>
      <c r="C34" s="18" t="s">
        <v>1555</v>
      </c>
      <c r="D34" s="19" t="n">
        <f aca="false">PI()*D33^2/4</f>
        <v>3.14159265358979E-006</v>
      </c>
      <c r="E34" s="18" t="s">
        <v>1556</v>
      </c>
      <c r="F34" s="18" t="s">
        <v>1500</v>
      </c>
      <c r="G34" s="18"/>
      <c r="H34" s="18"/>
    </row>
    <row r="35" customFormat="false" ht="15" hidden="false" customHeight="false" outlineLevel="0" collapsed="false">
      <c r="A35" s="18" t="s">
        <v>1543</v>
      </c>
      <c r="B35" s="18" t="s">
        <v>1557</v>
      </c>
      <c r="C35" s="18" t="s">
        <v>1558</v>
      </c>
      <c r="D35" s="19" t="n">
        <f aca="false">D31*D32/D34</f>
        <v>0.548798074769474</v>
      </c>
      <c r="E35" s="18" t="s">
        <v>1559</v>
      </c>
      <c r="F35" s="18" t="s">
        <v>1500</v>
      </c>
      <c r="G35" s="18"/>
      <c r="H35" s="18"/>
    </row>
    <row r="36" customFormat="false" ht="15" hidden="false" customHeight="false" outlineLevel="0" collapsed="false">
      <c r="A36" s="18" t="s">
        <v>1543</v>
      </c>
      <c r="B36" s="18" t="s">
        <v>1560</v>
      </c>
      <c r="C36" s="18" t="s">
        <v>1561</v>
      </c>
      <c r="D36" s="19" t="n">
        <f aca="false">(D31*1000000)*D32/(PI()*(D33*1000)^2/4)</f>
        <v>0.548798074769474</v>
      </c>
      <c r="E36" s="18" t="s">
        <v>1559</v>
      </c>
      <c r="F36" s="18" t="s">
        <v>1511</v>
      </c>
      <c r="G36" s="18" t="s">
        <v>1562</v>
      </c>
      <c r="H36" s="18"/>
    </row>
    <row r="37" customFormat="false" ht="15" hidden="false" customHeight="false" outlineLevel="0" collapsed="false">
      <c r="A37" s="18" t="s">
        <v>1543</v>
      </c>
      <c r="B37" s="18" t="s">
        <v>1513</v>
      </c>
      <c r="C37" s="18" t="s">
        <v>1514</v>
      </c>
      <c r="D37" s="35" t="n">
        <v>0.005</v>
      </c>
      <c r="E37" s="18" t="s">
        <v>1515</v>
      </c>
      <c r="F37" s="18" t="s">
        <v>1489</v>
      </c>
      <c r="G37" s="18" t="s">
        <v>1516</v>
      </c>
      <c r="H37" s="18"/>
    </row>
    <row r="38" customFormat="false" ht="15" hidden="false" customHeight="false" outlineLevel="0" collapsed="false">
      <c r="A38" s="18" t="s">
        <v>1543</v>
      </c>
      <c r="B38" s="18" t="s">
        <v>1563</v>
      </c>
      <c r="C38" s="18" t="s">
        <v>1518</v>
      </c>
      <c r="D38" s="36" t="n">
        <f aca="false">ABS(D36-D35)/ABS(D35)</f>
        <v>0</v>
      </c>
      <c r="E38" s="18" t="s">
        <v>1515</v>
      </c>
      <c r="F38" s="18" t="s">
        <v>1480</v>
      </c>
      <c r="G38" s="18" t="s">
        <v>1519</v>
      </c>
      <c r="H38" s="18" t="str">
        <f aca="false">IF(D38&lt;=D37,"Verified","Incorrect")</f>
        <v>Verified</v>
      </c>
    </row>
    <row r="40" customFormat="false" ht="15" hidden="false" customHeight="false" outlineLevel="0" collapsed="false">
      <c r="A40" s="31" t="s">
        <v>1564</v>
      </c>
      <c r="B40" s="31" t="s">
        <v>1565</v>
      </c>
      <c r="C40" s="32"/>
      <c r="D40" s="32"/>
      <c r="E40" s="32"/>
      <c r="F40" s="32"/>
      <c r="G40" s="33" t="s">
        <v>1566</v>
      </c>
      <c r="H40" s="32"/>
    </row>
    <row r="41" customFormat="false" ht="23.85" hidden="false" customHeight="false" outlineLevel="0" collapsed="false">
      <c r="B41" s="7" t="s">
        <v>1484</v>
      </c>
      <c r="G41" s="34" t="s">
        <v>1567</v>
      </c>
    </row>
    <row r="42" customFormat="false" ht="15" hidden="false" customHeight="false" outlineLevel="0" collapsed="false">
      <c r="A42" s="18" t="s">
        <v>1564</v>
      </c>
      <c r="B42" s="18" t="s">
        <v>1568</v>
      </c>
      <c r="C42" s="18" t="s">
        <v>1569</v>
      </c>
      <c r="D42" s="37" t="n">
        <f aca="false">'Material Properties'!L37</f>
        <v>310</v>
      </c>
      <c r="E42" s="18" t="s">
        <v>1570</v>
      </c>
      <c r="F42" s="18" t="s">
        <v>1530</v>
      </c>
      <c r="G42" s="18" t="s">
        <v>1530</v>
      </c>
      <c r="H42" s="18"/>
    </row>
    <row r="43" customFormat="false" ht="15" hidden="false" customHeight="false" outlineLevel="0" collapsed="false">
      <c r="A43" s="18" t="s">
        <v>1564</v>
      </c>
      <c r="B43" s="18" t="s">
        <v>1571</v>
      </c>
      <c r="C43" s="18" t="s">
        <v>1503</v>
      </c>
      <c r="D43" s="39" t="n">
        <f aca="false">'Material Properties'!F37</f>
        <v>2700</v>
      </c>
      <c r="E43" s="18" t="s">
        <v>1504</v>
      </c>
      <c r="F43" s="18" t="s">
        <v>1530</v>
      </c>
      <c r="G43" s="18" t="s">
        <v>1530</v>
      </c>
      <c r="H43" s="18"/>
    </row>
    <row r="44" customFormat="false" ht="15" hidden="false" customHeight="false" outlineLevel="0" collapsed="false">
      <c r="A44" s="18" t="s">
        <v>1564</v>
      </c>
      <c r="B44" s="18" t="s">
        <v>1572</v>
      </c>
      <c r="C44" s="18" t="s">
        <v>1573</v>
      </c>
      <c r="D44" s="40" t="n">
        <f aca="false">'Material Properties'!H37</f>
        <v>68.9</v>
      </c>
      <c r="E44" s="18" t="s">
        <v>1574</v>
      </c>
      <c r="F44" s="18" t="s">
        <v>1530</v>
      </c>
      <c r="G44" s="18" t="s">
        <v>1530</v>
      </c>
      <c r="H44" s="18"/>
    </row>
    <row r="45" customFormat="false" ht="15" hidden="false" customHeight="false" outlineLevel="0" collapsed="false">
      <c r="A45" s="18" t="s">
        <v>1564</v>
      </c>
      <c r="B45" s="18" t="s">
        <v>1575</v>
      </c>
      <c r="C45" s="18" t="s">
        <v>1576</v>
      </c>
      <c r="D45" s="19" t="n">
        <f aca="false">D42*1000/D43</f>
        <v>114.814814814815</v>
      </c>
      <c r="E45" s="18" t="s">
        <v>1577</v>
      </c>
      <c r="F45" s="18" t="s">
        <v>1500</v>
      </c>
      <c r="G45" s="18" t="s">
        <v>1578</v>
      </c>
      <c r="H45" s="18"/>
    </row>
    <row r="46" customFormat="false" ht="15" hidden="false" customHeight="false" outlineLevel="0" collapsed="false">
      <c r="A46" s="18" t="s">
        <v>1564</v>
      </c>
      <c r="B46" s="18" t="s">
        <v>1579</v>
      </c>
      <c r="C46" s="18" t="s">
        <v>1580</v>
      </c>
      <c r="D46" s="19" t="n">
        <f aca="false">D44*1000/D43</f>
        <v>25.5185185185185</v>
      </c>
      <c r="E46" s="18" t="s">
        <v>1581</v>
      </c>
      <c r="F46" s="18" t="s">
        <v>1500</v>
      </c>
      <c r="G46" s="18"/>
      <c r="H46" s="18"/>
    </row>
    <row r="47" customFormat="false" ht="15" hidden="false" customHeight="false" outlineLevel="0" collapsed="false">
      <c r="A47" s="18" t="s">
        <v>1564</v>
      </c>
      <c r="B47" s="18" t="s">
        <v>1582</v>
      </c>
      <c r="C47" s="18" t="s">
        <v>1583</v>
      </c>
      <c r="D47" s="19" t="n">
        <f aca="false">D42/(D43/1000)</f>
        <v>114.814814814815</v>
      </c>
      <c r="E47" s="18" t="s">
        <v>1577</v>
      </c>
      <c r="F47" s="18" t="s">
        <v>1511</v>
      </c>
      <c r="G47" s="18" t="s">
        <v>1584</v>
      </c>
      <c r="H47" s="18"/>
    </row>
    <row r="48" customFormat="false" ht="15" hidden="false" customHeight="false" outlineLevel="0" collapsed="false">
      <c r="A48" s="18" t="s">
        <v>1564</v>
      </c>
      <c r="B48" s="18" t="s">
        <v>1585</v>
      </c>
      <c r="C48" s="18" t="s">
        <v>1586</v>
      </c>
      <c r="D48" s="19" t="n">
        <f aca="false">D44/(D43/1000)</f>
        <v>25.5185185185185</v>
      </c>
      <c r="E48" s="18" t="s">
        <v>1581</v>
      </c>
      <c r="F48" s="18" t="s">
        <v>1511</v>
      </c>
      <c r="G48" s="18"/>
      <c r="H48" s="18"/>
    </row>
    <row r="49" customFormat="false" ht="15" hidden="false" customHeight="false" outlineLevel="0" collapsed="false">
      <c r="A49" s="18" t="s">
        <v>1564</v>
      </c>
      <c r="B49" s="18" t="s">
        <v>1513</v>
      </c>
      <c r="C49" s="18" t="s">
        <v>1514</v>
      </c>
      <c r="D49" s="35" t="n">
        <v>0.005</v>
      </c>
      <c r="E49" s="18" t="s">
        <v>1515</v>
      </c>
      <c r="F49" s="18" t="s">
        <v>1489</v>
      </c>
      <c r="G49" s="18" t="s">
        <v>1516</v>
      </c>
      <c r="H49" s="18"/>
    </row>
    <row r="50" customFormat="false" ht="15" hidden="false" customHeight="false" outlineLevel="0" collapsed="false">
      <c r="A50" s="18" t="s">
        <v>1564</v>
      </c>
      <c r="B50" s="18" t="s">
        <v>1587</v>
      </c>
      <c r="C50" s="18" t="s">
        <v>1518</v>
      </c>
      <c r="D50" s="36" t="n">
        <f aca="false">ABS(D47-D45)/ABS(D45)</f>
        <v>0</v>
      </c>
      <c r="E50" s="18" t="s">
        <v>1515</v>
      </c>
      <c r="F50" s="18" t="s">
        <v>1480</v>
      </c>
      <c r="G50" s="18" t="s">
        <v>1519</v>
      </c>
      <c r="H50" s="18" t="str">
        <f aca="false">IF(D50&lt;=D49,"Verified","Incorrect")</f>
        <v>Verified</v>
      </c>
    </row>
    <row r="51" customFormat="false" ht="15" hidden="false" customHeight="false" outlineLevel="0" collapsed="false">
      <c r="A51" s="18" t="s">
        <v>1564</v>
      </c>
      <c r="B51" s="18" t="s">
        <v>1588</v>
      </c>
      <c r="C51" s="18" t="s">
        <v>1518</v>
      </c>
      <c r="D51" s="36" t="n">
        <f aca="false">ABS(D48-D46)/ABS(D46)</f>
        <v>0</v>
      </c>
      <c r="E51" s="18" t="s">
        <v>1515</v>
      </c>
      <c r="F51" s="18" t="s">
        <v>1480</v>
      </c>
      <c r="G51" s="18" t="s">
        <v>1519</v>
      </c>
      <c r="H51" s="18" t="str">
        <f aca="false">IF(D51&lt;=D49,"Verified","Incorrect")</f>
        <v>Verified</v>
      </c>
    </row>
    <row r="53" customFormat="false" ht="15" hidden="false" customHeight="false" outlineLevel="0" collapsed="false">
      <c r="A53" s="31" t="s">
        <v>1589</v>
      </c>
      <c r="B53" s="31" t="s">
        <v>1590</v>
      </c>
      <c r="C53" s="32"/>
      <c r="D53" s="32"/>
      <c r="E53" s="32"/>
      <c r="F53" s="32"/>
      <c r="G53" s="33" t="s">
        <v>1591</v>
      </c>
      <c r="H53" s="32"/>
    </row>
    <row r="54" customFormat="false" ht="15" hidden="false" customHeight="false" outlineLevel="0" collapsed="false">
      <c r="B54" s="7" t="s">
        <v>1484</v>
      </c>
      <c r="G54" s="34" t="s">
        <v>1592</v>
      </c>
    </row>
    <row r="55" customFormat="false" ht="15" hidden="false" customHeight="false" outlineLevel="0" collapsed="false">
      <c r="A55" s="18" t="s">
        <v>1589</v>
      </c>
      <c r="B55" s="18" t="s">
        <v>1593</v>
      </c>
      <c r="C55" s="18" t="s">
        <v>1594</v>
      </c>
      <c r="D55" s="35" t="n">
        <v>20</v>
      </c>
      <c r="E55" s="18" t="s">
        <v>1595</v>
      </c>
      <c r="F55" s="18" t="s">
        <v>1489</v>
      </c>
      <c r="G55" s="18" t="s">
        <v>1534</v>
      </c>
      <c r="H55" s="18"/>
    </row>
    <row r="56" customFormat="false" ht="15" hidden="false" customHeight="false" outlineLevel="0" collapsed="false">
      <c r="A56" s="18" t="s">
        <v>1589</v>
      </c>
      <c r="B56" s="18" t="s">
        <v>1596</v>
      </c>
      <c r="C56" s="18" t="s">
        <v>1597</v>
      </c>
      <c r="D56" s="35" t="n">
        <v>100</v>
      </c>
      <c r="E56" s="18" t="s">
        <v>1598</v>
      </c>
      <c r="F56" s="18" t="s">
        <v>1489</v>
      </c>
      <c r="G56" s="18" t="s">
        <v>1534</v>
      </c>
      <c r="H56" s="18"/>
    </row>
    <row r="57" customFormat="false" ht="15" hidden="false" customHeight="false" outlineLevel="0" collapsed="false">
      <c r="A57" s="18" t="s">
        <v>1589</v>
      </c>
      <c r="B57" s="18" t="s">
        <v>1599</v>
      </c>
      <c r="C57" s="18" t="s">
        <v>1525</v>
      </c>
      <c r="D57" s="35" t="n">
        <v>50</v>
      </c>
      <c r="E57" s="18" t="s">
        <v>1538</v>
      </c>
      <c r="F57" s="18" t="s">
        <v>1489</v>
      </c>
      <c r="G57" s="18" t="s">
        <v>1534</v>
      </c>
      <c r="H57" s="18"/>
    </row>
    <row r="58" customFormat="false" ht="15" hidden="false" customHeight="false" outlineLevel="0" collapsed="false">
      <c r="A58" s="18" t="s">
        <v>1589</v>
      </c>
      <c r="B58" s="18" t="s">
        <v>1600</v>
      </c>
      <c r="C58" s="18" t="s">
        <v>1573</v>
      </c>
      <c r="D58" s="40" t="n">
        <f aca="false">'Material Properties'!H6</f>
        <v>205</v>
      </c>
      <c r="E58" s="18" t="s">
        <v>1574</v>
      </c>
      <c r="F58" s="18" t="s">
        <v>1530</v>
      </c>
      <c r="G58" s="18" t="s">
        <v>1530</v>
      </c>
      <c r="H58" s="18"/>
    </row>
    <row r="59" customFormat="false" ht="15" hidden="false" customHeight="false" outlineLevel="0" collapsed="false">
      <c r="A59" s="18" t="s">
        <v>1589</v>
      </c>
      <c r="B59" s="18" t="s">
        <v>1601</v>
      </c>
      <c r="C59" s="18" t="s">
        <v>1569</v>
      </c>
      <c r="D59" s="19" t="n">
        <f aca="false">D55*1000/D56</f>
        <v>200</v>
      </c>
      <c r="E59" s="18" t="s">
        <v>1570</v>
      </c>
      <c r="F59" s="18" t="s">
        <v>1500</v>
      </c>
      <c r="G59" s="18" t="s">
        <v>1602</v>
      </c>
      <c r="H59" s="18"/>
    </row>
    <row r="60" customFormat="false" ht="15" hidden="false" customHeight="false" outlineLevel="0" collapsed="false">
      <c r="A60" s="18" t="s">
        <v>1589</v>
      </c>
      <c r="B60" s="18" t="s">
        <v>1603</v>
      </c>
      <c r="C60" s="18" t="s">
        <v>1604</v>
      </c>
      <c r="D60" s="19" t="n">
        <f aca="false">D59/(D58*1000)</f>
        <v>0.000975609756097561</v>
      </c>
      <c r="E60" s="18" t="s">
        <v>1515</v>
      </c>
      <c r="F60" s="18" t="s">
        <v>1500</v>
      </c>
      <c r="G60" s="18"/>
      <c r="H60" s="18"/>
    </row>
    <row r="61" customFormat="false" ht="15" hidden="false" customHeight="false" outlineLevel="0" collapsed="false">
      <c r="A61" s="18" t="s">
        <v>1589</v>
      </c>
      <c r="B61" s="18" t="s">
        <v>1605</v>
      </c>
      <c r="C61" s="18" t="s">
        <v>1536</v>
      </c>
      <c r="D61" s="19" t="n">
        <f aca="false">D60*D57</f>
        <v>0.0487804878048781</v>
      </c>
      <c r="E61" s="18" t="s">
        <v>1538</v>
      </c>
      <c r="F61" s="18" t="s">
        <v>1500</v>
      </c>
      <c r="G61" s="18"/>
      <c r="H61" s="18"/>
    </row>
    <row r="62" customFormat="false" ht="15" hidden="false" customHeight="false" outlineLevel="0" collapsed="false">
      <c r="A62" s="18" t="s">
        <v>1589</v>
      </c>
      <c r="B62" s="18" t="s">
        <v>1606</v>
      </c>
      <c r="C62" s="18" t="s">
        <v>1540</v>
      </c>
      <c r="D62" s="19" t="n">
        <f aca="false">(D55*1000)*(D57/1000)/((D56*0.000001)*(D58*1000000000))*1000</f>
        <v>0.0487804878048781</v>
      </c>
      <c r="E62" s="18" t="s">
        <v>1538</v>
      </c>
      <c r="F62" s="18" t="s">
        <v>1511</v>
      </c>
      <c r="G62" s="18" t="s">
        <v>1607</v>
      </c>
      <c r="H62" s="18"/>
    </row>
    <row r="63" customFormat="false" ht="15" hidden="false" customHeight="false" outlineLevel="0" collapsed="false">
      <c r="A63" s="18" t="s">
        <v>1589</v>
      </c>
      <c r="B63" s="18" t="s">
        <v>1513</v>
      </c>
      <c r="C63" s="18" t="s">
        <v>1514</v>
      </c>
      <c r="D63" s="35" t="n">
        <v>0.005</v>
      </c>
      <c r="E63" s="18" t="s">
        <v>1515</v>
      </c>
      <c r="F63" s="18" t="s">
        <v>1489</v>
      </c>
      <c r="G63" s="18" t="s">
        <v>1516</v>
      </c>
      <c r="H63" s="18"/>
    </row>
    <row r="64" customFormat="false" ht="15" hidden="false" customHeight="false" outlineLevel="0" collapsed="false">
      <c r="A64" s="18" t="s">
        <v>1589</v>
      </c>
      <c r="B64" s="18" t="s">
        <v>1608</v>
      </c>
      <c r="C64" s="18" t="s">
        <v>1518</v>
      </c>
      <c r="D64" s="36" t="n">
        <f aca="false">ABS(D62-D61)/ABS(D61)</f>
        <v>0</v>
      </c>
      <c r="E64" s="18" t="s">
        <v>1515</v>
      </c>
      <c r="F64" s="18" t="s">
        <v>1480</v>
      </c>
      <c r="G64" s="18" t="s">
        <v>1519</v>
      </c>
      <c r="H64" s="18" t="str">
        <f aca="false">IF(D64&lt;=D63,"Verified","Incorrect")</f>
        <v>Verified</v>
      </c>
    </row>
    <row r="66" customFormat="false" ht="15" hidden="false" customHeight="false" outlineLevel="0" collapsed="false">
      <c r="A66" s="31" t="s">
        <v>1609</v>
      </c>
      <c r="B66" s="31" t="s">
        <v>1610</v>
      </c>
      <c r="C66" s="32"/>
      <c r="D66" s="32"/>
      <c r="E66" s="32"/>
      <c r="F66" s="32"/>
      <c r="G66" s="33" t="s">
        <v>1611</v>
      </c>
      <c r="H66" s="32"/>
    </row>
    <row r="67" customFormat="false" ht="23.85" hidden="false" customHeight="false" outlineLevel="0" collapsed="false">
      <c r="B67" s="7" t="s">
        <v>1484</v>
      </c>
      <c r="G67" s="34" t="s">
        <v>1612</v>
      </c>
    </row>
    <row r="68" customFormat="false" ht="15" hidden="false" customHeight="false" outlineLevel="0" collapsed="false">
      <c r="A68" s="18" t="s">
        <v>1609</v>
      </c>
      <c r="B68" s="18" t="s">
        <v>1613</v>
      </c>
      <c r="C68" s="18" t="s">
        <v>1614</v>
      </c>
      <c r="D68" s="35" t="n">
        <v>1500</v>
      </c>
      <c r="E68" s="18" t="s">
        <v>1615</v>
      </c>
      <c r="F68" s="18" t="s">
        <v>1489</v>
      </c>
      <c r="G68" s="18" t="s">
        <v>1534</v>
      </c>
      <c r="H68" s="18"/>
    </row>
    <row r="69" customFormat="false" ht="15" hidden="false" customHeight="false" outlineLevel="0" collapsed="false">
      <c r="A69" s="18" t="s">
        <v>1609</v>
      </c>
      <c r="B69" s="18" t="s">
        <v>1493</v>
      </c>
      <c r="C69" s="18" t="s">
        <v>1616</v>
      </c>
      <c r="D69" s="35" t="n">
        <v>0.03</v>
      </c>
      <c r="E69" s="18" t="s">
        <v>1487</v>
      </c>
      <c r="F69" s="18" t="s">
        <v>1489</v>
      </c>
      <c r="G69" s="18"/>
      <c r="H69" s="18"/>
    </row>
    <row r="70" customFormat="false" ht="15" hidden="false" customHeight="false" outlineLevel="0" collapsed="false">
      <c r="A70" s="18" t="s">
        <v>1609</v>
      </c>
      <c r="B70" s="18" t="s">
        <v>1617</v>
      </c>
      <c r="C70" s="18" t="s">
        <v>1618</v>
      </c>
      <c r="D70" s="35" t="n">
        <v>0.05</v>
      </c>
      <c r="E70" s="18" t="s">
        <v>1487</v>
      </c>
      <c r="F70" s="18" t="s">
        <v>1489</v>
      </c>
      <c r="G70" s="18"/>
      <c r="H70" s="18"/>
    </row>
    <row r="71" customFormat="false" ht="15" hidden="false" customHeight="false" outlineLevel="0" collapsed="false">
      <c r="A71" s="18" t="s">
        <v>1609</v>
      </c>
      <c r="B71" s="18" t="s">
        <v>1619</v>
      </c>
      <c r="C71" s="18" t="s">
        <v>1620</v>
      </c>
      <c r="D71" s="19" t="n">
        <f aca="false">D69*D70^3/12</f>
        <v>3.125E-007</v>
      </c>
      <c r="E71" s="18" t="s">
        <v>1621</v>
      </c>
      <c r="F71" s="18" t="s">
        <v>1500</v>
      </c>
      <c r="G71" s="18"/>
      <c r="H71" s="18"/>
    </row>
    <row r="72" customFormat="false" ht="15" hidden="false" customHeight="false" outlineLevel="0" collapsed="false">
      <c r="A72" s="18" t="s">
        <v>1609</v>
      </c>
      <c r="B72" s="18" t="s">
        <v>1622</v>
      </c>
      <c r="C72" s="18" t="s">
        <v>1623</v>
      </c>
      <c r="D72" s="19" t="n">
        <f aca="false">D70/2</f>
        <v>0.025</v>
      </c>
      <c r="E72" s="18" t="s">
        <v>1487</v>
      </c>
      <c r="F72" s="18" t="s">
        <v>1500</v>
      </c>
      <c r="G72" s="18"/>
      <c r="H72" s="18"/>
    </row>
    <row r="73" customFormat="false" ht="15" hidden="false" customHeight="false" outlineLevel="0" collapsed="false">
      <c r="A73" s="18" t="s">
        <v>1609</v>
      </c>
      <c r="B73" s="18" t="s">
        <v>1624</v>
      </c>
      <c r="C73" s="18" t="s">
        <v>1569</v>
      </c>
      <c r="D73" s="19" t="n">
        <f aca="false">D68*D72/D71/1000000</f>
        <v>120</v>
      </c>
      <c r="E73" s="18" t="s">
        <v>1570</v>
      </c>
      <c r="F73" s="18" t="s">
        <v>1500</v>
      </c>
      <c r="G73" s="18"/>
      <c r="H73" s="18"/>
    </row>
    <row r="74" customFormat="false" ht="15" hidden="false" customHeight="false" outlineLevel="0" collapsed="false">
      <c r="A74" s="18" t="s">
        <v>1609</v>
      </c>
      <c r="B74" s="18" t="s">
        <v>1625</v>
      </c>
      <c r="C74" s="18" t="s">
        <v>1626</v>
      </c>
      <c r="D74" s="19" t="n">
        <f aca="false">6*D68/(D69*D70^2)/1000000</f>
        <v>120</v>
      </c>
      <c r="E74" s="18" t="s">
        <v>1570</v>
      </c>
      <c r="F74" s="18" t="s">
        <v>1511</v>
      </c>
      <c r="G74" s="18" t="s">
        <v>1627</v>
      </c>
      <c r="H74" s="18"/>
    </row>
    <row r="75" customFormat="false" ht="15" hidden="false" customHeight="false" outlineLevel="0" collapsed="false">
      <c r="A75" s="18" t="s">
        <v>1609</v>
      </c>
      <c r="B75" s="18" t="s">
        <v>1513</v>
      </c>
      <c r="C75" s="18" t="s">
        <v>1514</v>
      </c>
      <c r="D75" s="35" t="n">
        <v>0.005</v>
      </c>
      <c r="E75" s="18" t="s">
        <v>1515</v>
      </c>
      <c r="F75" s="18" t="s">
        <v>1489</v>
      </c>
      <c r="G75" s="18" t="s">
        <v>1516</v>
      </c>
      <c r="H75" s="18"/>
    </row>
    <row r="76" customFormat="false" ht="15" hidden="false" customHeight="false" outlineLevel="0" collapsed="false">
      <c r="A76" s="18" t="s">
        <v>1609</v>
      </c>
      <c r="B76" s="18" t="s">
        <v>1628</v>
      </c>
      <c r="C76" s="18" t="s">
        <v>1518</v>
      </c>
      <c r="D76" s="36" t="n">
        <f aca="false">ABS(D74-D73)/ABS(D73)</f>
        <v>0</v>
      </c>
      <c r="E76" s="18" t="s">
        <v>1515</v>
      </c>
      <c r="F76" s="18" t="s">
        <v>1480</v>
      </c>
      <c r="G76" s="18" t="s">
        <v>1519</v>
      </c>
      <c r="H76" s="18" t="str">
        <f aca="false">IF(D76&lt;=D75,"Verified","Incorrect")</f>
        <v>Verified</v>
      </c>
    </row>
    <row r="78" customFormat="false" ht="15" hidden="false" customHeight="false" outlineLevel="0" collapsed="false">
      <c r="A78" s="31" t="s">
        <v>1629</v>
      </c>
      <c r="B78" s="31" t="s">
        <v>1630</v>
      </c>
      <c r="C78" s="32"/>
      <c r="D78" s="32"/>
      <c r="E78" s="32"/>
      <c r="F78" s="32"/>
      <c r="G78" s="33" t="s">
        <v>1631</v>
      </c>
      <c r="H78" s="32"/>
    </row>
    <row r="79" customFormat="false" ht="15" hidden="false" customHeight="false" outlineLevel="0" collapsed="false">
      <c r="B79" s="7" t="s">
        <v>1484</v>
      </c>
      <c r="G79" s="34" t="s">
        <v>1632</v>
      </c>
    </row>
    <row r="80" customFormat="false" ht="15" hidden="false" customHeight="false" outlineLevel="0" collapsed="false">
      <c r="A80" s="18" t="s">
        <v>1629</v>
      </c>
      <c r="B80" s="18" t="s">
        <v>1633</v>
      </c>
      <c r="C80" s="18" t="s">
        <v>1634</v>
      </c>
      <c r="D80" s="35" t="n">
        <v>500</v>
      </c>
      <c r="E80" s="18" t="s">
        <v>1615</v>
      </c>
      <c r="F80" s="18" t="s">
        <v>1489</v>
      </c>
      <c r="G80" s="18" t="s">
        <v>1534</v>
      </c>
      <c r="H80" s="18"/>
    </row>
    <row r="81" customFormat="false" ht="15" hidden="false" customHeight="false" outlineLevel="0" collapsed="false">
      <c r="A81" s="18" t="s">
        <v>1629</v>
      </c>
      <c r="B81" s="18" t="s">
        <v>1635</v>
      </c>
      <c r="C81" s="18" t="s">
        <v>1553</v>
      </c>
      <c r="D81" s="35" t="n">
        <v>0.03</v>
      </c>
      <c r="E81" s="18" t="s">
        <v>1487</v>
      </c>
      <c r="F81" s="18" t="s">
        <v>1489</v>
      </c>
      <c r="G81" s="18"/>
      <c r="H81" s="18"/>
    </row>
    <row r="82" customFormat="false" ht="15" hidden="false" customHeight="false" outlineLevel="0" collapsed="false">
      <c r="A82" s="18" t="s">
        <v>1629</v>
      </c>
      <c r="B82" s="18" t="s">
        <v>1636</v>
      </c>
      <c r="C82" s="18" t="s">
        <v>1637</v>
      </c>
      <c r="D82" s="19" t="n">
        <f aca="false">PI()*D81^4/32</f>
        <v>7.95215640439916E-008</v>
      </c>
      <c r="E82" s="18" t="s">
        <v>1621</v>
      </c>
      <c r="F82" s="18" t="s">
        <v>1500</v>
      </c>
      <c r="G82" s="18"/>
      <c r="H82" s="18"/>
    </row>
    <row r="83" customFormat="false" ht="15" hidden="false" customHeight="false" outlineLevel="0" collapsed="false">
      <c r="A83" s="18" t="s">
        <v>1629</v>
      </c>
      <c r="B83" s="18" t="s">
        <v>1638</v>
      </c>
      <c r="C83" s="18" t="s">
        <v>1639</v>
      </c>
      <c r="D83" s="19" t="n">
        <f aca="false">D80*(D81/2)/D82/1000000</f>
        <v>94.3140403507528</v>
      </c>
      <c r="E83" s="18" t="s">
        <v>1570</v>
      </c>
      <c r="F83" s="18" t="s">
        <v>1500</v>
      </c>
      <c r="G83" s="18"/>
      <c r="H83" s="18"/>
    </row>
    <row r="84" customFormat="false" ht="15" hidden="false" customHeight="false" outlineLevel="0" collapsed="false">
      <c r="A84" s="18" t="s">
        <v>1629</v>
      </c>
      <c r="B84" s="18" t="s">
        <v>1640</v>
      </c>
      <c r="C84" s="18" t="s">
        <v>1641</v>
      </c>
      <c r="D84" s="19" t="n">
        <f aca="false">16*D80/(PI()*D81^3)/1000000</f>
        <v>94.3140403507528</v>
      </c>
      <c r="E84" s="18" t="s">
        <v>1570</v>
      </c>
      <c r="F84" s="18" t="s">
        <v>1511</v>
      </c>
      <c r="G84" s="18"/>
      <c r="H84" s="18"/>
    </row>
    <row r="85" customFormat="false" ht="15" hidden="false" customHeight="false" outlineLevel="0" collapsed="false">
      <c r="A85" s="18" t="s">
        <v>1629</v>
      </c>
      <c r="B85" s="18" t="s">
        <v>1513</v>
      </c>
      <c r="C85" s="18" t="s">
        <v>1514</v>
      </c>
      <c r="D85" s="35" t="n">
        <v>0.005</v>
      </c>
      <c r="E85" s="18" t="s">
        <v>1515</v>
      </c>
      <c r="F85" s="18" t="s">
        <v>1489</v>
      </c>
      <c r="G85" s="18" t="s">
        <v>1516</v>
      </c>
      <c r="H85" s="18"/>
    </row>
    <row r="86" customFormat="false" ht="15" hidden="false" customHeight="false" outlineLevel="0" collapsed="false">
      <c r="A86" s="18" t="s">
        <v>1629</v>
      </c>
      <c r="B86" s="18" t="s">
        <v>1642</v>
      </c>
      <c r="C86" s="18" t="s">
        <v>1518</v>
      </c>
      <c r="D86" s="36" t="n">
        <f aca="false">ABS(D84-D83)/ABS(D83)</f>
        <v>0</v>
      </c>
      <c r="E86" s="18" t="s">
        <v>1515</v>
      </c>
      <c r="F86" s="18" t="s">
        <v>1480</v>
      </c>
      <c r="G86" s="18" t="s">
        <v>1519</v>
      </c>
      <c r="H86" s="18" t="str">
        <f aca="false">IF(D86&lt;=D85,"Verified","Incorrect")</f>
        <v>Verified</v>
      </c>
    </row>
    <row r="88" customFormat="false" ht="23.85" hidden="false" customHeight="false" outlineLevel="0" collapsed="false">
      <c r="A88" s="31" t="s">
        <v>1643</v>
      </c>
      <c r="B88" s="31" t="s">
        <v>1644</v>
      </c>
      <c r="C88" s="32"/>
      <c r="D88" s="32"/>
      <c r="E88" s="32"/>
      <c r="F88" s="32"/>
      <c r="G88" s="33" t="s">
        <v>1645</v>
      </c>
      <c r="H88" s="32"/>
    </row>
    <row r="89" customFormat="false" ht="23.85" hidden="false" customHeight="false" outlineLevel="0" collapsed="false">
      <c r="B89" s="7" t="s">
        <v>1484</v>
      </c>
      <c r="G89" s="34" t="s">
        <v>1646</v>
      </c>
    </row>
    <row r="90" customFormat="false" ht="15" hidden="false" customHeight="false" outlineLevel="0" collapsed="false">
      <c r="A90" s="18" t="s">
        <v>1643</v>
      </c>
      <c r="B90" s="18" t="s">
        <v>1647</v>
      </c>
      <c r="C90" s="18" t="s">
        <v>1648</v>
      </c>
      <c r="D90" s="37" t="n">
        <f aca="false">'Material Properties'!K13</f>
        <v>655</v>
      </c>
      <c r="E90" s="18" t="s">
        <v>1570</v>
      </c>
      <c r="F90" s="18" t="s">
        <v>1530</v>
      </c>
      <c r="G90" s="18" t="s">
        <v>1649</v>
      </c>
      <c r="H90" s="18"/>
    </row>
    <row r="91" customFormat="false" ht="15" hidden="false" customHeight="false" outlineLevel="0" collapsed="false">
      <c r="A91" s="18" t="s">
        <v>1643</v>
      </c>
      <c r="B91" s="18" t="s">
        <v>1650</v>
      </c>
      <c r="C91" s="18" t="s">
        <v>1569</v>
      </c>
      <c r="D91" s="19" t="n">
        <f aca="false">D73</f>
        <v>120</v>
      </c>
      <c r="E91" s="18" t="s">
        <v>1570</v>
      </c>
      <c r="F91" s="18" t="s">
        <v>1500</v>
      </c>
      <c r="G91" s="18" t="s">
        <v>1651</v>
      </c>
      <c r="H91" s="18"/>
    </row>
    <row r="92" customFormat="false" ht="15" hidden="false" customHeight="false" outlineLevel="0" collapsed="false">
      <c r="A92" s="18" t="s">
        <v>1643</v>
      </c>
      <c r="B92" s="18" t="s">
        <v>1652</v>
      </c>
      <c r="C92" s="18" t="s">
        <v>1653</v>
      </c>
      <c r="D92" s="19" t="n">
        <f aca="false">D90/D91</f>
        <v>5.45833333333334</v>
      </c>
      <c r="E92" s="18" t="s">
        <v>1515</v>
      </c>
      <c r="F92" s="18" t="s">
        <v>1500</v>
      </c>
      <c r="G92" s="18"/>
      <c r="H92" s="18"/>
    </row>
    <row r="93" customFormat="false" ht="15" hidden="false" customHeight="false" outlineLevel="0" collapsed="false">
      <c r="A93" s="18" t="s">
        <v>1643</v>
      </c>
      <c r="B93" s="18" t="s">
        <v>1654</v>
      </c>
      <c r="C93" s="18" t="s">
        <v>1655</v>
      </c>
      <c r="D93" s="19" t="n">
        <f aca="false">1/(D91/D90)</f>
        <v>5.45833333333334</v>
      </c>
      <c r="E93" s="18" t="s">
        <v>1515</v>
      </c>
      <c r="F93" s="18" t="s">
        <v>1511</v>
      </c>
      <c r="G93" s="18"/>
      <c r="H93" s="18"/>
    </row>
    <row r="94" customFormat="false" ht="15" hidden="false" customHeight="false" outlineLevel="0" collapsed="false">
      <c r="A94" s="18" t="s">
        <v>1643</v>
      </c>
      <c r="B94" s="18" t="s">
        <v>1513</v>
      </c>
      <c r="C94" s="18" t="s">
        <v>1514</v>
      </c>
      <c r="D94" s="35" t="n">
        <v>0.005</v>
      </c>
      <c r="E94" s="18" t="s">
        <v>1515</v>
      </c>
      <c r="F94" s="18" t="s">
        <v>1489</v>
      </c>
      <c r="G94" s="18" t="s">
        <v>1516</v>
      </c>
      <c r="H94" s="18"/>
    </row>
    <row r="95" customFormat="false" ht="15" hidden="false" customHeight="false" outlineLevel="0" collapsed="false">
      <c r="A95" s="18" t="s">
        <v>1643</v>
      </c>
      <c r="B95" s="18" t="s">
        <v>1656</v>
      </c>
      <c r="C95" s="18" t="s">
        <v>1518</v>
      </c>
      <c r="D95" s="36" t="n">
        <f aca="false">ABS(D93-D92)/ABS(D92)</f>
        <v>0</v>
      </c>
      <c r="E95" s="18" t="s">
        <v>1515</v>
      </c>
      <c r="F95" s="18" t="s">
        <v>1480</v>
      </c>
      <c r="G95" s="18" t="s">
        <v>1519</v>
      </c>
      <c r="H95" s="18" t="str">
        <f aca="false">IF(D95&lt;=D94,"Verified","Incorrect")</f>
        <v>Verified</v>
      </c>
    </row>
    <row r="97" customFormat="false" ht="15" hidden="false" customHeight="false" outlineLevel="0" collapsed="false">
      <c r="A97" s="31" t="s">
        <v>1657</v>
      </c>
      <c r="B97" s="31" t="s">
        <v>1658</v>
      </c>
      <c r="C97" s="32"/>
      <c r="D97" s="32"/>
      <c r="E97" s="32"/>
      <c r="F97" s="32"/>
      <c r="G97" s="33" t="s">
        <v>1659</v>
      </c>
      <c r="H97" s="32"/>
    </row>
    <row r="98" customFormat="false" ht="23.85" hidden="false" customHeight="false" outlineLevel="0" collapsed="false">
      <c r="B98" s="7" t="s">
        <v>1484</v>
      </c>
      <c r="G98" s="34" t="s">
        <v>1660</v>
      </c>
    </row>
    <row r="99" customFormat="false" ht="15" hidden="false" customHeight="false" outlineLevel="0" collapsed="false">
      <c r="A99" s="18" t="s">
        <v>1657</v>
      </c>
      <c r="B99" s="18" t="s">
        <v>1600</v>
      </c>
      <c r="C99" s="18" t="s">
        <v>1573</v>
      </c>
      <c r="D99" s="40" t="n">
        <f aca="false">'Material Properties'!H6</f>
        <v>205</v>
      </c>
      <c r="E99" s="18" t="s">
        <v>1574</v>
      </c>
      <c r="F99" s="18" t="s">
        <v>1530</v>
      </c>
      <c r="G99" s="18" t="s">
        <v>1530</v>
      </c>
      <c r="H99" s="18"/>
    </row>
    <row r="100" customFormat="false" ht="15" hidden="false" customHeight="false" outlineLevel="0" collapsed="false">
      <c r="A100" s="18" t="s">
        <v>1657</v>
      </c>
      <c r="B100" s="18" t="s">
        <v>1661</v>
      </c>
      <c r="C100" s="18" t="s">
        <v>1528</v>
      </c>
      <c r="D100" s="37" t="n">
        <f aca="false">'Material Properties'!Q6</f>
        <v>11.9</v>
      </c>
      <c r="E100" s="18" t="s">
        <v>1529</v>
      </c>
      <c r="F100" s="18" t="s">
        <v>1530</v>
      </c>
      <c r="G100" s="18" t="s">
        <v>1530</v>
      </c>
      <c r="H100" s="18"/>
    </row>
    <row r="101" customFormat="false" ht="15" hidden="false" customHeight="false" outlineLevel="0" collapsed="false">
      <c r="A101" s="18" t="s">
        <v>1657</v>
      </c>
      <c r="B101" s="18" t="s">
        <v>1662</v>
      </c>
      <c r="C101" s="18" t="s">
        <v>1532</v>
      </c>
      <c r="D101" s="35" t="n">
        <v>50</v>
      </c>
      <c r="E101" s="18" t="s">
        <v>1533</v>
      </c>
      <c r="F101" s="18" t="s">
        <v>1489</v>
      </c>
      <c r="G101" s="18" t="s">
        <v>1534</v>
      </c>
      <c r="H101" s="18"/>
    </row>
    <row r="102" customFormat="false" ht="15" hidden="false" customHeight="false" outlineLevel="0" collapsed="false">
      <c r="A102" s="18" t="s">
        <v>1657</v>
      </c>
      <c r="B102" s="18" t="s">
        <v>1663</v>
      </c>
      <c r="C102" s="18" t="s">
        <v>1569</v>
      </c>
      <c r="D102" s="19" t="n">
        <f aca="false">D99*1000*D100*0.000001*D101</f>
        <v>121.975</v>
      </c>
      <c r="E102" s="18" t="s">
        <v>1570</v>
      </c>
      <c r="F102" s="18" t="s">
        <v>1500</v>
      </c>
      <c r="G102" s="18"/>
      <c r="H102" s="18"/>
    </row>
    <row r="103" customFormat="false" ht="15" hidden="false" customHeight="false" outlineLevel="0" collapsed="false">
      <c r="A103" s="18" t="s">
        <v>1657</v>
      </c>
      <c r="B103" s="18" t="s">
        <v>1664</v>
      </c>
      <c r="C103" s="18" t="s">
        <v>1626</v>
      </c>
      <c r="D103" s="19" t="n">
        <f aca="false">(D99*1000000000)*(D100*0.000001)*D101/1000000</f>
        <v>121.975</v>
      </c>
      <c r="E103" s="18" t="s">
        <v>1570</v>
      </c>
      <c r="F103" s="18" t="s">
        <v>1511</v>
      </c>
      <c r="G103" s="18"/>
      <c r="H103" s="18"/>
    </row>
    <row r="104" customFormat="false" ht="15" hidden="false" customHeight="false" outlineLevel="0" collapsed="false">
      <c r="A104" s="18" t="s">
        <v>1657</v>
      </c>
      <c r="B104" s="18" t="s">
        <v>1513</v>
      </c>
      <c r="C104" s="18" t="s">
        <v>1514</v>
      </c>
      <c r="D104" s="35" t="n">
        <v>0.005</v>
      </c>
      <c r="E104" s="18" t="s">
        <v>1515</v>
      </c>
      <c r="F104" s="18" t="s">
        <v>1489</v>
      </c>
      <c r="G104" s="18" t="s">
        <v>1516</v>
      </c>
      <c r="H104" s="18"/>
    </row>
    <row r="105" customFormat="false" ht="15" hidden="false" customHeight="false" outlineLevel="0" collapsed="false">
      <c r="A105" s="18" t="s">
        <v>1657</v>
      </c>
      <c r="B105" s="18" t="s">
        <v>1665</v>
      </c>
      <c r="C105" s="18" t="s">
        <v>1518</v>
      </c>
      <c r="D105" s="36" t="n">
        <f aca="false">ABS(D103-D102)/ABS(D102)</f>
        <v>0</v>
      </c>
      <c r="E105" s="18" t="s">
        <v>1515</v>
      </c>
      <c r="F105" s="18" t="s">
        <v>1480</v>
      </c>
      <c r="G105" s="18" t="s">
        <v>1519</v>
      </c>
      <c r="H105" s="18" t="str">
        <f aca="false">IF(D105&lt;=D104,"Verified","Incorrect")</f>
        <v>Verified</v>
      </c>
    </row>
    <row r="107" customFormat="false" ht="23.85" hidden="false" customHeight="false" outlineLevel="0" collapsed="false">
      <c r="A107" s="31" t="s">
        <v>1666</v>
      </c>
      <c r="B107" s="31" t="s">
        <v>1667</v>
      </c>
      <c r="C107" s="32"/>
      <c r="D107" s="32"/>
      <c r="E107" s="32"/>
      <c r="F107" s="32"/>
      <c r="G107" s="33" t="s">
        <v>1668</v>
      </c>
      <c r="H107" s="32"/>
    </row>
    <row r="108" customFormat="false" ht="23.85" hidden="false" customHeight="false" outlineLevel="0" collapsed="false">
      <c r="B108" s="7" t="s">
        <v>1484</v>
      </c>
      <c r="G108" s="34" t="s">
        <v>1669</v>
      </c>
    </row>
    <row r="109" customFormat="false" ht="15" hidden="false" customHeight="false" outlineLevel="0" collapsed="false">
      <c r="A109" s="18" t="s">
        <v>1666</v>
      </c>
      <c r="B109" s="18" t="s">
        <v>1670</v>
      </c>
      <c r="C109" s="18" t="s">
        <v>1671</v>
      </c>
      <c r="D109" s="35" t="n">
        <v>100</v>
      </c>
      <c r="E109" s="18" t="s">
        <v>1570</v>
      </c>
      <c r="F109" s="18" t="s">
        <v>1489</v>
      </c>
      <c r="G109" s="18" t="s">
        <v>1534</v>
      </c>
      <c r="H109" s="18"/>
    </row>
    <row r="110" customFormat="false" ht="15" hidden="false" customHeight="false" outlineLevel="0" collapsed="false">
      <c r="A110" s="18" t="s">
        <v>1666</v>
      </c>
      <c r="B110" s="18" t="s">
        <v>1672</v>
      </c>
      <c r="C110" s="18" t="s">
        <v>1673</v>
      </c>
      <c r="D110" s="35" t="n">
        <v>150</v>
      </c>
      <c r="E110" s="18" t="s">
        <v>1570</v>
      </c>
      <c r="F110" s="18" t="s">
        <v>1489</v>
      </c>
      <c r="G110" s="18" t="s">
        <v>1534</v>
      </c>
      <c r="H110" s="18"/>
    </row>
    <row r="111" customFormat="false" ht="15" hidden="false" customHeight="false" outlineLevel="0" collapsed="false">
      <c r="A111" s="18" t="s">
        <v>1666</v>
      </c>
      <c r="B111" s="18" t="s">
        <v>1674</v>
      </c>
      <c r="C111" s="18" t="s">
        <v>1675</v>
      </c>
      <c r="D111" s="35" t="n">
        <v>600</v>
      </c>
      <c r="E111" s="18" t="s">
        <v>1570</v>
      </c>
      <c r="F111" s="18" t="s">
        <v>1489</v>
      </c>
      <c r="G111" s="18" t="s">
        <v>1534</v>
      </c>
      <c r="H111" s="18"/>
    </row>
    <row r="112" customFormat="false" ht="15" hidden="false" customHeight="false" outlineLevel="0" collapsed="false">
      <c r="A112" s="18" t="s">
        <v>1666</v>
      </c>
      <c r="B112" s="18" t="s">
        <v>1676</v>
      </c>
      <c r="C112" s="18" t="s">
        <v>1677</v>
      </c>
      <c r="D112" s="19" t="n">
        <f aca="false">0.5*D111</f>
        <v>300</v>
      </c>
      <c r="E112" s="18" t="s">
        <v>1570</v>
      </c>
      <c r="F112" s="18" t="s">
        <v>1500</v>
      </c>
      <c r="G112" s="18" t="s">
        <v>1678</v>
      </c>
      <c r="H112" s="18"/>
    </row>
    <row r="113" customFormat="false" ht="15" hidden="false" customHeight="false" outlineLevel="0" collapsed="false">
      <c r="A113" s="18" t="s">
        <v>1666</v>
      </c>
      <c r="B113" s="18" t="s">
        <v>1679</v>
      </c>
      <c r="C113" s="18" t="s">
        <v>1653</v>
      </c>
      <c r="D113" s="19" t="n">
        <f aca="false">1/(D109/D112+D110/D111)</f>
        <v>1.71428571428571</v>
      </c>
      <c r="E113" s="18" t="s">
        <v>1515</v>
      </c>
      <c r="F113" s="18" t="s">
        <v>1500</v>
      </c>
      <c r="G113" s="18"/>
      <c r="H113" s="18"/>
    </row>
    <row r="114" customFormat="false" ht="15" hidden="false" customHeight="false" outlineLevel="0" collapsed="false">
      <c r="A114" s="18" t="s">
        <v>1666</v>
      </c>
      <c r="B114" s="18" t="s">
        <v>1680</v>
      </c>
      <c r="C114" s="18" t="s">
        <v>1681</v>
      </c>
      <c r="D114" s="19" t="n">
        <f aca="false">1</f>
        <v>1</v>
      </c>
      <c r="E114" s="18" t="s">
        <v>1515</v>
      </c>
      <c r="F114" s="18" t="s">
        <v>1500</v>
      </c>
      <c r="G114" s="18" t="s">
        <v>1682</v>
      </c>
      <c r="H114" s="18"/>
    </row>
    <row r="115" customFormat="false" ht="15" hidden="false" customHeight="false" outlineLevel="0" collapsed="false">
      <c r="A115" s="18" t="s">
        <v>1666</v>
      </c>
      <c r="B115" s="18" t="s">
        <v>1683</v>
      </c>
      <c r="C115" s="18" t="s">
        <v>1684</v>
      </c>
      <c r="D115" s="19" t="n">
        <f aca="false">D113*D109/D112+D113*D110/D111</f>
        <v>1</v>
      </c>
      <c r="E115" s="18" t="s">
        <v>1515</v>
      </c>
      <c r="F115" s="18" t="s">
        <v>1511</v>
      </c>
      <c r="G115" s="18" t="s">
        <v>1685</v>
      </c>
      <c r="H115" s="18"/>
    </row>
    <row r="116" customFormat="false" ht="15" hidden="false" customHeight="false" outlineLevel="0" collapsed="false">
      <c r="A116" s="18" t="s">
        <v>1666</v>
      </c>
      <c r="B116" s="18" t="s">
        <v>1513</v>
      </c>
      <c r="C116" s="18" t="s">
        <v>1514</v>
      </c>
      <c r="D116" s="35" t="n">
        <v>0.005</v>
      </c>
      <c r="E116" s="18" t="s">
        <v>1515</v>
      </c>
      <c r="F116" s="18" t="s">
        <v>1489</v>
      </c>
      <c r="G116" s="18" t="s">
        <v>1516</v>
      </c>
      <c r="H116" s="18"/>
    </row>
    <row r="117" customFormat="false" ht="15" hidden="false" customHeight="false" outlineLevel="0" collapsed="false">
      <c r="A117" s="18" t="s">
        <v>1666</v>
      </c>
      <c r="B117" s="18" t="s">
        <v>1686</v>
      </c>
      <c r="C117" s="18" t="s">
        <v>1518</v>
      </c>
      <c r="D117" s="36" t="n">
        <f aca="false">ABS(D114-D115)/ABS(D115)</f>
        <v>0</v>
      </c>
      <c r="E117" s="18" t="s">
        <v>1515</v>
      </c>
      <c r="F117" s="18" t="s">
        <v>1480</v>
      </c>
      <c r="G117" s="18" t="s">
        <v>1519</v>
      </c>
      <c r="H117" s="18" t="str">
        <f aca="false">IF(D117&lt;=D116,"Verified","Incorrect")</f>
        <v>Verified</v>
      </c>
    </row>
    <row r="119" customFormat="false" ht="15" hidden="false" customHeight="false" outlineLevel="0" collapsed="false">
      <c r="A119" s="31" t="s">
        <v>1687</v>
      </c>
      <c r="B119" s="31" t="s">
        <v>1688</v>
      </c>
      <c r="C119" s="32"/>
      <c r="D119" s="32"/>
      <c r="E119" s="32"/>
      <c r="F119" s="32"/>
      <c r="G119" s="33" t="s">
        <v>1689</v>
      </c>
      <c r="H119" s="32"/>
    </row>
    <row r="120" customFormat="false" ht="35.05" hidden="false" customHeight="false" outlineLevel="0" collapsed="false">
      <c r="B120" s="7" t="s">
        <v>1484</v>
      </c>
      <c r="G120" s="34" t="s">
        <v>1690</v>
      </c>
    </row>
    <row r="121" customFormat="false" ht="15" hidden="false" customHeight="false" outlineLevel="0" collapsed="false">
      <c r="A121" s="18" t="s">
        <v>1687</v>
      </c>
      <c r="B121" s="18" t="s">
        <v>1691</v>
      </c>
      <c r="C121" s="18" t="s">
        <v>1692</v>
      </c>
      <c r="D121" s="35" t="n">
        <v>70</v>
      </c>
      <c r="E121" s="18" t="s">
        <v>1570</v>
      </c>
      <c r="F121" s="18" t="s">
        <v>1489</v>
      </c>
      <c r="G121" s="18" t="s">
        <v>1693</v>
      </c>
      <c r="H121" s="18"/>
    </row>
    <row r="122" customFormat="false" ht="15" hidden="false" customHeight="false" outlineLevel="0" collapsed="false">
      <c r="A122" s="18" t="s">
        <v>1687</v>
      </c>
      <c r="B122" s="18" t="s">
        <v>1694</v>
      </c>
      <c r="C122" s="18" t="s">
        <v>1695</v>
      </c>
      <c r="D122" s="35" t="n">
        <v>0.6</v>
      </c>
      <c r="E122" s="18" t="s">
        <v>1696</v>
      </c>
      <c r="F122" s="18" t="s">
        <v>1489</v>
      </c>
      <c r="G122" s="18" t="s">
        <v>1693</v>
      </c>
      <c r="H122" s="18"/>
    </row>
    <row r="123" customFormat="false" ht="15" hidden="false" customHeight="false" outlineLevel="0" collapsed="false">
      <c r="A123" s="18" t="s">
        <v>1687</v>
      </c>
      <c r="B123" s="18" t="s">
        <v>1697</v>
      </c>
      <c r="C123" s="18" t="s">
        <v>1553</v>
      </c>
      <c r="D123" s="38" t="n">
        <v>2E-005</v>
      </c>
      <c r="E123" s="18" t="s">
        <v>1487</v>
      </c>
      <c r="F123" s="18" t="s">
        <v>1489</v>
      </c>
      <c r="G123" s="18" t="s">
        <v>1698</v>
      </c>
      <c r="H123" s="18"/>
    </row>
    <row r="124" customFormat="false" ht="15" hidden="false" customHeight="false" outlineLevel="0" collapsed="false">
      <c r="A124" s="18" t="s">
        <v>1687</v>
      </c>
      <c r="B124" s="18" t="s">
        <v>1699</v>
      </c>
      <c r="C124" s="18" t="s">
        <v>1700</v>
      </c>
      <c r="D124" s="19" t="n">
        <f aca="false">D121+D122/SQRT(D123)</f>
        <v>204.164078649987</v>
      </c>
      <c r="E124" s="18" t="s">
        <v>1570</v>
      </c>
      <c r="F124" s="18" t="s">
        <v>1500</v>
      </c>
      <c r="G124" s="18"/>
      <c r="H124" s="18"/>
    </row>
    <row r="125" customFormat="false" ht="15" hidden="false" customHeight="false" outlineLevel="0" collapsed="false">
      <c r="A125" s="18" t="s">
        <v>1687</v>
      </c>
      <c r="B125" s="18" t="s">
        <v>1701</v>
      </c>
      <c r="C125" s="18" t="s">
        <v>1702</v>
      </c>
      <c r="D125" s="19" t="n">
        <f aca="false">D121+(D122*SQRT(1000))/SQRT(D123*1000)</f>
        <v>204.164078649987</v>
      </c>
      <c r="E125" s="18" t="s">
        <v>1570</v>
      </c>
      <c r="F125" s="18" t="s">
        <v>1511</v>
      </c>
      <c r="G125" s="18" t="s">
        <v>1703</v>
      </c>
      <c r="H125" s="18"/>
    </row>
    <row r="126" customFormat="false" ht="15" hidden="false" customHeight="false" outlineLevel="0" collapsed="false">
      <c r="A126" s="18" t="s">
        <v>1687</v>
      </c>
      <c r="B126" s="18" t="s">
        <v>1513</v>
      </c>
      <c r="C126" s="18" t="s">
        <v>1514</v>
      </c>
      <c r="D126" s="35" t="n">
        <v>0.005</v>
      </c>
      <c r="E126" s="18" t="s">
        <v>1515</v>
      </c>
      <c r="F126" s="18" t="s">
        <v>1489</v>
      </c>
      <c r="G126" s="18" t="s">
        <v>1516</v>
      </c>
      <c r="H126" s="18"/>
    </row>
    <row r="127" customFormat="false" ht="15" hidden="false" customHeight="false" outlineLevel="0" collapsed="false">
      <c r="A127" s="18" t="s">
        <v>1687</v>
      </c>
      <c r="B127" s="18" t="s">
        <v>1704</v>
      </c>
      <c r="C127" s="18" t="s">
        <v>1518</v>
      </c>
      <c r="D127" s="36" t="n">
        <f aca="false">ABS(D125-D124)/ABS(D124)</f>
        <v>0</v>
      </c>
      <c r="E127" s="18" t="s">
        <v>1515</v>
      </c>
      <c r="F127" s="18" t="s">
        <v>1480</v>
      </c>
      <c r="G127" s="18" t="s">
        <v>1519</v>
      </c>
      <c r="H127" s="18" t="str">
        <f aca="false">IF(D127&lt;=D126,"Verified","Incorrect")</f>
        <v>Verified</v>
      </c>
    </row>
    <row r="129" customFormat="false" ht="23.85" hidden="false" customHeight="false" outlineLevel="0" collapsed="false">
      <c r="A129" s="31" t="s">
        <v>1705</v>
      </c>
      <c r="B129" s="31" t="s">
        <v>1706</v>
      </c>
      <c r="C129" s="32"/>
      <c r="D129" s="32"/>
      <c r="E129" s="32"/>
      <c r="F129" s="32"/>
      <c r="G129" s="33" t="s">
        <v>1707</v>
      </c>
      <c r="H129" s="32"/>
    </row>
    <row r="130" customFormat="false" ht="15" hidden="false" customHeight="false" outlineLevel="0" collapsed="false">
      <c r="B130" s="7" t="s">
        <v>1484</v>
      </c>
      <c r="G130" s="34" t="s">
        <v>1708</v>
      </c>
    </row>
    <row r="131" customFormat="false" ht="15" hidden="false" customHeight="false" outlineLevel="0" collapsed="false">
      <c r="A131" s="18" t="s">
        <v>1705</v>
      </c>
      <c r="B131" s="18" t="s">
        <v>1709</v>
      </c>
      <c r="C131" s="18" t="s">
        <v>1710</v>
      </c>
      <c r="D131" s="35" t="n">
        <v>8</v>
      </c>
      <c r="E131" s="18" t="s">
        <v>1515</v>
      </c>
      <c r="F131" s="18" t="s">
        <v>1489</v>
      </c>
      <c r="G131" s="18" t="s">
        <v>1534</v>
      </c>
      <c r="H131" s="18"/>
    </row>
    <row r="132" customFormat="false" ht="15" hidden="false" customHeight="false" outlineLevel="0" collapsed="false">
      <c r="A132" s="18" t="s">
        <v>1705</v>
      </c>
      <c r="B132" s="18" t="s">
        <v>1711</v>
      </c>
      <c r="C132" s="18" t="s">
        <v>1712</v>
      </c>
      <c r="D132" s="35" t="n">
        <v>25.4</v>
      </c>
      <c r="E132" s="18" t="s">
        <v>1538</v>
      </c>
      <c r="F132" s="18" t="s">
        <v>1489</v>
      </c>
      <c r="G132" s="18"/>
      <c r="H132" s="18"/>
    </row>
    <row r="133" customFormat="false" ht="15" hidden="false" customHeight="false" outlineLevel="0" collapsed="false">
      <c r="A133" s="18" t="s">
        <v>1705</v>
      </c>
      <c r="B133" s="18" t="s">
        <v>1713</v>
      </c>
      <c r="C133" s="18" t="s">
        <v>1614</v>
      </c>
      <c r="D133" s="35" t="n">
        <v>100</v>
      </c>
      <c r="E133" s="18" t="s">
        <v>1714</v>
      </c>
      <c r="F133" s="18" t="s">
        <v>1489</v>
      </c>
      <c r="G133" s="18"/>
      <c r="H133" s="18"/>
    </row>
    <row r="134" customFormat="false" ht="15" hidden="false" customHeight="false" outlineLevel="0" collapsed="false">
      <c r="A134" s="18" t="s">
        <v>1705</v>
      </c>
      <c r="B134" s="18" t="s">
        <v>1715</v>
      </c>
      <c r="C134" s="18" t="s">
        <v>1653</v>
      </c>
      <c r="D134" s="19" t="n">
        <f aca="false">2^(D131-1)</f>
        <v>128</v>
      </c>
      <c r="E134" s="18" t="s">
        <v>1716</v>
      </c>
      <c r="F134" s="18" t="s">
        <v>1500</v>
      </c>
      <c r="G134" s="18"/>
      <c r="H134" s="18"/>
    </row>
    <row r="135" customFormat="false" ht="15" hidden="false" customHeight="false" outlineLevel="0" collapsed="false">
      <c r="A135" s="18" t="s">
        <v>1705</v>
      </c>
      <c r="B135" s="18" t="s">
        <v>1717</v>
      </c>
      <c r="C135" s="18" t="s">
        <v>1718</v>
      </c>
      <c r="D135" s="19" t="n">
        <f aca="false">(D132/D133)^2</f>
        <v>0.064516</v>
      </c>
      <c r="E135" s="18" t="s">
        <v>1598</v>
      </c>
      <c r="F135" s="18" t="s">
        <v>1500</v>
      </c>
      <c r="G135" s="18"/>
      <c r="H135" s="18"/>
    </row>
    <row r="136" customFormat="false" ht="15" hidden="false" customHeight="false" outlineLevel="0" collapsed="false">
      <c r="A136" s="18" t="s">
        <v>1705</v>
      </c>
      <c r="B136" s="18" t="s">
        <v>1719</v>
      </c>
      <c r="C136" s="18" t="s">
        <v>1720</v>
      </c>
      <c r="D136" s="19" t="n">
        <f aca="false">D134/D135</f>
        <v>1984.00396800794</v>
      </c>
      <c r="E136" s="18" t="s">
        <v>1721</v>
      </c>
      <c r="F136" s="18" t="s">
        <v>1500</v>
      </c>
      <c r="G136" s="18"/>
      <c r="H136" s="18"/>
    </row>
    <row r="137" customFormat="false" ht="15" hidden="false" customHeight="false" outlineLevel="0" collapsed="false">
      <c r="A137" s="18" t="s">
        <v>1705</v>
      </c>
      <c r="B137" s="18" t="s">
        <v>1722</v>
      </c>
      <c r="C137" s="18" t="s">
        <v>1553</v>
      </c>
      <c r="D137" s="19" t="n">
        <f aca="false">SQRT(1/D136)*1000</f>
        <v>22.4506403026729</v>
      </c>
      <c r="E137" s="18" t="s">
        <v>1723</v>
      </c>
      <c r="F137" s="18" t="s">
        <v>1500</v>
      </c>
      <c r="G137" s="18"/>
      <c r="H137" s="18"/>
    </row>
    <row r="138" customFormat="false" ht="23.85" hidden="false" customHeight="false" outlineLevel="0" collapsed="false">
      <c r="A138" s="18" t="s">
        <v>1705</v>
      </c>
      <c r="B138" s="18" t="s">
        <v>1724</v>
      </c>
      <c r="C138" s="18" t="s">
        <v>1725</v>
      </c>
      <c r="D138" s="35" t="n">
        <v>22.5</v>
      </c>
      <c r="E138" s="18" t="s">
        <v>1723</v>
      </c>
      <c r="F138" s="18" t="s">
        <v>1489</v>
      </c>
      <c r="G138" s="18" t="s">
        <v>1726</v>
      </c>
      <c r="H138" s="18"/>
    </row>
    <row r="139" customFormat="false" ht="15" hidden="false" customHeight="false" outlineLevel="0" collapsed="false">
      <c r="A139" s="18" t="s">
        <v>1705</v>
      </c>
      <c r="B139" s="18" t="s">
        <v>1513</v>
      </c>
      <c r="C139" s="18" t="s">
        <v>1514</v>
      </c>
      <c r="D139" s="35" t="n">
        <v>0.02</v>
      </c>
      <c r="E139" s="18" t="s">
        <v>1515</v>
      </c>
      <c r="F139" s="18" t="s">
        <v>1489</v>
      </c>
      <c r="G139" s="18" t="s">
        <v>1516</v>
      </c>
      <c r="H139" s="18"/>
    </row>
    <row r="140" customFormat="false" ht="15" hidden="false" customHeight="false" outlineLevel="0" collapsed="false">
      <c r="A140" s="18" t="s">
        <v>1705</v>
      </c>
      <c r="B140" s="18" t="s">
        <v>1727</v>
      </c>
      <c r="C140" s="18" t="s">
        <v>1518</v>
      </c>
      <c r="D140" s="36" t="n">
        <f aca="false">ABS(D138-D137)/ABS(D137)</f>
        <v>0.00219858750849255</v>
      </c>
      <c r="E140" s="18" t="s">
        <v>1515</v>
      </c>
      <c r="F140" s="18" t="s">
        <v>1480</v>
      </c>
      <c r="G140" s="18" t="s">
        <v>1519</v>
      </c>
      <c r="H140" s="18" t="str">
        <f aca="false">IF(D140&lt;=D139,"Verified","Incorrect")</f>
        <v>Verified</v>
      </c>
    </row>
    <row r="142" customFormat="false" ht="15" hidden="false" customHeight="false" outlineLevel="0" collapsed="false">
      <c r="A142" s="31" t="s">
        <v>1728</v>
      </c>
      <c r="B142" s="31" t="s">
        <v>1729</v>
      </c>
      <c r="C142" s="32"/>
      <c r="D142" s="32"/>
      <c r="E142" s="32"/>
      <c r="F142" s="32"/>
      <c r="G142" s="33" t="s">
        <v>1730</v>
      </c>
      <c r="H142" s="32"/>
    </row>
    <row r="143" customFormat="false" ht="23.85" hidden="false" customHeight="false" outlineLevel="0" collapsed="false">
      <c r="B143" s="7" t="s">
        <v>1484</v>
      </c>
      <c r="G143" s="34" t="s">
        <v>1731</v>
      </c>
    </row>
    <row r="144" customFormat="false" ht="15" hidden="false" customHeight="false" outlineLevel="0" collapsed="false">
      <c r="A144" s="18" t="s">
        <v>1728</v>
      </c>
      <c r="B144" s="18" t="s">
        <v>1732</v>
      </c>
      <c r="C144" s="18" t="s">
        <v>1733</v>
      </c>
      <c r="D144" s="35" t="n">
        <v>0.2</v>
      </c>
      <c r="E144" s="18" t="s">
        <v>1734</v>
      </c>
      <c r="F144" s="18" t="s">
        <v>1489</v>
      </c>
      <c r="G144" s="18" t="s">
        <v>1534</v>
      </c>
      <c r="H144" s="18"/>
    </row>
    <row r="145" customFormat="false" ht="15" hidden="false" customHeight="false" outlineLevel="0" collapsed="false">
      <c r="A145" s="18" t="s">
        <v>1728</v>
      </c>
      <c r="B145" s="18" t="s">
        <v>1735</v>
      </c>
      <c r="C145" s="18" t="s">
        <v>1736</v>
      </c>
      <c r="D145" s="35" t="n">
        <v>0.9</v>
      </c>
      <c r="E145" s="18" t="s">
        <v>1734</v>
      </c>
      <c r="F145" s="18" t="s">
        <v>1489</v>
      </c>
      <c r="G145" s="18"/>
      <c r="H145" s="18"/>
    </row>
    <row r="146" customFormat="false" ht="15" hidden="false" customHeight="false" outlineLevel="0" collapsed="false">
      <c r="A146" s="18" t="s">
        <v>1728</v>
      </c>
      <c r="B146" s="18" t="s">
        <v>1737</v>
      </c>
      <c r="C146" s="18" t="s">
        <v>1738</v>
      </c>
      <c r="D146" s="35" t="n">
        <v>0.05</v>
      </c>
      <c r="E146" s="18" t="s">
        <v>1734</v>
      </c>
      <c r="F146" s="18" t="s">
        <v>1489</v>
      </c>
      <c r="G146" s="18"/>
      <c r="H146" s="18"/>
    </row>
    <row r="147" customFormat="false" ht="15" hidden="false" customHeight="false" outlineLevel="0" collapsed="false">
      <c r="A147" s="18" t="s">
        <v>1728</v>
      </c>
      <c r="B147" s="18" t="s">
        <v>629</v>
      </c>
      <c r="C147" s="18" t="s">
        <v>1739</v>
      </c>
      <c r="D147" s="35" t="n">
        <v>0</v>
      </c>
      <c r="E147" s="18" t="s">
        <v>1734</v>
      </c>
      <c r="F147" s="18" t="s">
        <v>1489</v>
      </c>
      <c r="G147" s="18"/>
      <c r="H147" s="18"/>
    </row>
    <row r="148" customFormat="false" ht="15" hidden="false" customHeight="false" outlineLevel="0" collapsed="false">
      <c r="A148" s="18" t="s">
        <v>1728</v>
      </c>
      <c r="B148" s="18" t="s">
        <v>1740</v>
      </c>
      <c r="C148" s="18" t="s">
        <v>1498</v>
      </c>
      <c r="D148" s="35" t="n">
        <v>0</v>
      </c>
      <c r="E148" s="18" t="s">
        <v>1734</v>
      </c>
      <c r="F148" s="18" t="s">
        <v>1489</v>
      </c>
      <c r="G148" s="18"/>
      <c r="H148" s="18"/>
    </row>
    <row r="149" customFormat="false" ht="15" hidden="false" customHeight="false" outlineLevel="0" collapsed="false">
      <c r="A149" s="18" t="s">
        <v>1728</v>
      </c>
      <c r="B149" s="18" t="s">
        <v>1741</v>
      </c>
      <c r="C149" s="18" t="s">
        <v>1742</v>
      </c>
      <c r="D149" s="35" t="n">
        <v>0.05</v>
      </c>
      <c r="E149" s="18" t="s">
        <v>1734</v>
      </c>
      <c r="F149" s="18" t="s">
        <v>1489</v>
      </c>
      <c r="G149" s="18"/>
      <c r="H149" s="18"/>
    </row>
    <row r="150" customFormat="false" ht="15" hidden="false" customHeight="false" outlineLevel="0" collapsed="false">
      <c r="A150" s="18" t="s">
        <v>1728</v>
      </c>
      <c r="B150" s="18" t="s">
        <v>392</v>
      </c>
      <c r="C150" s="18" t="s">
        <v>1743</v>
      </c>
      <c r="D150" s="35" t="n">
        <v>0.05</v>
      </c>
      <c r="E150" s="18" t="s">
        <v>1734</v>
      </c>
      <c r="F150" s="18" t="s">
        <v>1489</v>
      </c>
      <c r="G150" s="18"/>
      <c r="H150" s="18"/>
    </row>
    <row r="151" customFormat="false" ht="15" hidden="false" customHeight="false" outlineLevel="0" collapsed="false">
      <c r="A151" s="18" t="s">
        <v>1728</v>
      </c>
      <c r="B151" s="18" t="s">
        <v>1744</v>
      </c>
      <c r="C151" s="18" t="s">
        <v>1745</v>
      </c>
      <c r="D151" s="19" t="n">
        <f aca="false">D144+D145/6+(D146+D147+D148)/5+(D149+D150)/15</f>
        <v>0.366666666666667</v>
      </c>
      <c r="E151" s="18" t="s">
        <v>1734</v>
      </c>
      <c r="F151" s="18" t="s">
        <v>1500</v>
      </c>
      <c r="G151" s="18"/>
      <c r="H151" s="18"/>
    </row>
    <row r="152" customFormat="false" ht="15" hidden="false" customHeight="false" outlineLevel="0" collapsed="false">
      <c r="A152" s="18" t="s">
        <v>1728</v>
      </c>
      <c r="B152" s="18" t="s">
        <v>1746</v>
      </c>
      <c r="C152" s="18" t="s">
        <v>1747</v>
      </c>
      <c r="D152" s="19" t="n">
        <f aca="false">D144+D145/6+D146/5+D147/5+D148/5+D149/15+D150/15</f>
        <v>0.366666666666667</v>
      </c>
      <c r="E152" s="18" t="s">
        <v>1734</v>
      </c>
      <c r="F152" s="18" t="s">
        <v>1511</v>
      </c>
      <c r="G152" s="18"/>
      <c r="H152" s="18"/>
    </row>
    <row r="153" customFormat="false" ht="15" hidden="false" customHeight="false" outlineLevel="0" collapsed="false">
      <c r="A153" s="18" t="s">
        <v>1728</v>
      </c>
      <c r="B153" s="18" t="s">
        <v>1513</v>
      </c>
      <c r="C153" s="18" t="s">
        <v>1514</v>
      </c>
      <c r="D153" s="35" t="n">
        <v>0.005</v>
      </c>
      <c r="E153" s="18" t="s">
        <v>1515</v>
      </c>
      <c r="F153" s="18" t="s">
        <v>1489</v>
      </c>
      <c r="G153" s="18" t="s">
        <v>1516</v>
      </c>
      <c r="H153" s="18"/>
    </row>
    <row r="154" customFormat="false" ht="15" hidden="false" customHeight="false" outlineLevel="0" collapsed="false">
      <c r="A154" s="18" t="s">
        <v>1728</v>
      </c>
      <c r="B154" s="18" t="s">
        <v>1748</v>
      </c>
      <c r="C154" s="18" t="s">
        <v>1518</v>
      </c>
      <c r="D154" s="36" t="n">
        <f aca="false">ABS(D152-D151)/ABS(D151)</f>
        <v>0</v>
      </c>
      <c r="E154" s="18" t="s">
        <v>1515</v>
      </c>
      <c r="F154" s="18" t="s">
        <v>1480</v>
      </c>
      <c r="G154" s="18" t="s">
        <v>1519</v>
      </c>
      <c r="H154" s="18" t="str">
        <f aca="false">IF(D154&lt;=D153,"Verified","Incorrect")</f>
        <v>Verified</v>
      </c>
    </row>
    <row r="156" customFormat="false" ht="15" hidden="false" customHeight="false" outlineLevel="0" collapsed="false">
      <c r="A156" s="31" t="s">
        <v>1749</v>
      </c>
      <c r="B156" s="31" t="s">
        <v>1750</v>
      </c>
      <c r="C156" s="32"/>
      <c r="D156" s="32"/>
      <c r="E156" s="32"/>
      <c r="F156" s="32"/>
      <c r="G156" s="33" t="s">
        <v>1751</v>
      </c>
      <c r="H156" s="32"/>
    </row>
    <row r="157" customFormat="false" ht="23.85" hidden="false" customHeight="false" outlineLevel="0" collapsed="false">
      <c r="B157" s="7" t="s">
        <v>1484</v>
      </c>
      <c r="G157" s="34" t="s">
        <v>1752</v>
      </c>
    </row>
    <row r="158" customFormat="false" ht="15" hidden="false" customHeight="false" outlineLevel="0" collapsed="false">
      <c r="A158" s="18" t="s">
        <v>1749</v>
      </c>
      <c r="B158" s="18" t="s">
        <v>1737</v>
      </c>
      <c r="C158" s="18" t="s">
        <v>1738</v>
      </c>
      <c r="D158" s="35" t="n">
        <v>22.5</v>
      </c>
      <c r="E158" s="18" t="s">
        <v>1734</v>
      </c>
      <c r="F158" s="18" t="s">
        <v>1489</v>
      </c>
      <c r="G158" s="18" t="s">
        <v>1534</v>
      </c>
      <c r="H158" s="18"/>
    </row>
    <row r="159" customFormat="false" ht="15" hidden="false" customHeight="false" outlineLevel="0" collapsed="false">
      <c r="A159" s="18" t="s">
        <v>1749</v>
      </c>
      <c r="B159" s="18" t="s">
        <v>629</v>
      </c>
      <c r="C159" s="18" t="s">
        <v>1739</v>
      </c>
      <c r="D159" s="35" t="n">
        <v>3.2</v>
      </c>
      <c r="E159" s="18" t="s">
        <v>1734</v>
      </c>
      <c r="F159" s="18" t="s">
        <v>1489</v>
      </c>
      <c r="G159" s="18"/>
      <c r="H159" s="18"/>
    </row>
    <row r="160" customFormat="false" ht="15" hidden="false" customHeight="false" outlineLevel="0" collapsed="false">
      <c r="A160" s="18" t="s">
        <v>1749</v>
      </c>
      <c r="B160" s="18" t="s">
        <v>1753</v>
      </c>
      <c r="C160" s="18" t="s">
        <v>1720</v>
      </c>
      <c r="D160" s="35" t="n">
        <v>0.17</v>
      </c>
      <c r="E160" s="18" t="s">
        <v>1734</v>
      </c>
      <c r="F160" s="18" t="s">
        <v>1489</v>
      </c>
      <c r="G160" s="18"/>
      <c r="H160" s="18"/>
    </row>
    <row r="161" customFormat="false" ht="15" hidden="false" customHeight="false" outlineLevel="0" collapsed="false">
      <c r="A161" s="18" t="s">
        <v>1749</v>
      </c>
      <c r="B161" s="18" t="s">
        <v>1754</v>
      </c>
      <c r="C161" s="18" t="s">
        <v>1754</v>
      </c>
      <c r="D161" s="19" t="n">
        <f aca="false">D158+3.3*D159+16*D160</f>
        <v>35.78</v>
      </c>
      <c r="E161" s="18" t="s">
        <v>1515</v>
      </c>
      <c r="F161" s="18" t="s">
        <v>1500</v>
      </c>
      <c r="G161" s="18"/>
      <c r="H161" s="18"/>
    </row>
    <row r="162" customFormat="false" ht="15" hidden="false" customHeight="false" outlineLevel="0" collapsed="false">
      <c r="A162" s="18" t="s">
        <v>1749</v>
      </c>
      <c r="B162" s="18" t="s">
        <v>1755</v>
      </c>
      <c r="C162" s="18" t="s">
        <v>1756</v>
      </c>
      <c r="D162" s="19" t="n">
        <f aca="false">D158+(33*D159)/10+(16*D160)</f>
        <v>35.78</v>
      </c>
      <c r="E162" s="18" t="s">
        <v>1515</v>
      </c>
      <c r="F162" s="18" t="s">
        <v>1511</v>
      </c>
      <c r="G162" s="18"/>
      <c r="H162" s="18"/>
    </row>
    <row r="163" customFormat="false" ht="15" hidden="false" customHeight="false" outlineLevel="0" collapsed="false">
      <c r="A163" s="18" t="s">
        <v>1749</v>
      </c>
      <c r="B163" s="18" t="s">
        <v>1513</v>
      </c>
      <c r="C163" s="18" t="s">
        <v>1514</v>
      </c>
      <c r="D163" s="35" t="n">
        <v>0.005</v>
      </c>
      <c r="E163" s="18" t="s">
        <v>1515</v>
      </c>
      <c r="F163" s="18" t="s">
        <v>1489</v>
      </c>
      <c r="G163" s="18" t="s">
        <v>1516</v>
      </c>
      <c r="H163" s="18"/>
    </row>
    <row r="164" customFormat="false" ht="15" hidden="false" customHeight="false" outlineLevel="0" collapsed="false">
      <c r="A164" s="18" t="s">
        <v>1749</v>
      </c>
      <c r="B164" s="18" t="s">
        <v>1757</v>
      </c>
      <c r="C164" s="18" t="s">
        <v>1518</v>
      </c>
      <c r="D164" s="36" t="n">
        <f aca="false">ABS(D162-D161)/ABS(D161)</f>
        <v>0</v>
      </c>
      <c r="E164" s="18" t="s">
        <v>1515</v>
      </c>
      <c r="F164" s="18" t="s">
        <v>1480</v>
      </c>
      <c r="G164" s="18" t="s">
        <v>1519</v>
      </c>
      <c r="H164" s="18" t="str">
        <f aca="false">IF(D164&lt;=D163,"Verified","Incorrect")</f>
        <v>Verified</v>
      </c>
    </row>
    <row r="166" customFormat="false" ht="15" hidden="false" customHeight="false" outlineLevel="0" collapsed="false">
      <c r="A166" s="31" t="s">
        <v>1758</v>
      </c>
      <c r="B166" s="31" t="s">
        <v>1759</v>
      </c>
      <c r="C166" s="32"/>
      <c r="D166" s="32"/>
      <c r="E166" s="32"/>
      <c r="F166" s="32"/>
      <c r="G166" s="33" t="s">
        <v>1760</v>
      </c>
      <c r="H166" s="32"/>
    </row>
    <row r="167" customFormat="false" ht="23.85" hidden="false" customHeight="false" outlineLevel="0" collapsed="false">
      <c r="B167" s="7" t="s">
        <v>1484</v>
      </c>
      <c r="G167" s="34" t="s">
        <v>1761</v>
      </c>
    </row>
    <row r="168" customFormat="false" ht="15" hidden="false" customHeight="false" outlineLevel="0" collapsed="false">
      <c r="A168" s="18" t="s">
        <v>1758</v>
      </c>
      <c r="B168" s="18" t="s">
        <v>1762</v>
      </c>
      <c r="C168" s="18" t="s">
        <v>1634</v>
      </c>
      <c r="D168" s="35" t="n">
        <v>600</v>
      </c>
      <c r="E168" s="18" t="s">
        <v>1763</v>
      </c>
      <c r="F168" s="18" t="s">
        <v>1489</v>
      </c>
      <c r="G168" s="18" t="s">
        <v>1534</v>
      </c>
      <c r="H168" s="18"/>
    </row>
    <row r="169" customFormat="false" ht="15" hidden="false" customHeight="false" outlineLevel="0" collapsed="false">
      <c r="A169" s="18" t="s">
        <v>1758</v>
      </c>
      <c r="B169" s="18" t="s">
        <v>1764</v>
      </c>
      <c r="C169" s="18" t="s">
        <v>1733</v>
      </c>
      <c r="D169" s="35" t="n">
        <v>20</v>
      </c>
      <c r="E169" s="18" t="s">
        <v>1515</v>
      </c>
      <c r="F169" s="18" t="s">
        <v>1489</v>
      </c>
      <c r="G169" s="18" t="s">
        <v>1765</v>
      </c>
      <c r="H169" s="18"/>
    </row>
    <row r="170" customFormat="false" ht="15" hidden="false" customHeight="false" outlineLevel="0" collapsed="false">
      <c r="A170" s="18" t="s">
        <v>1758</v>
      </c>
      <c r="B170" s="18" t="s">
        <v>1766</v>
      </c>
      <c r="C170" s="18" t="s">
        <v>1767</v>
      </c>
      <c r="D170" s="35" t="n">
        <v>1000</v>
      </c>
      <c r="E170" s="18" t="s">
        <v>1618</v>
      </c>
      <c r="F170" s="18" t="s">
        <v>1489</v>
      </c>
      <c r="G170" s="18" t="s">
        <v>1534</v>
      </c>
      <c r="H170" s="18"/>
    </row>
    <row r="171" customFormat="false" ht="15" hidden="false" customHeight="false" outlineLevel="0" collapsed="false">
      <c r="A171" s="18" t="s">
        <v>1758</v>
      </c>
      <c r="B171" s="18" t="s">
        <v>1762</v>
      </c>
      <c r="C171" s="18" t="s">
        <v>1634</v>
      </c>
      <c r="D171" s="19" t="n">
        <f aca="false">D168+273.15</f>
        <v>873.15</v>
      </c>
      <c r="E171" s="18" t="s">
        <v>1533</v>
      </c>
      <c r="F171" s="18" t="s">
        <v>1500</v>
      </c>
      <c r="G171" s="18"/>
      <c r="H171" s="18"/>
    </row>
    <row r="172" customFormat="false" ht="15" hidden="false" customHeight="false" outlineLevel="0" collapsed="false">
      <c r="A172" s="18" t="s">
        <v>1758</v>
      </c>
      <c r="B172" s="18" t="s">
        <v>1768</v>
      </c>
      <c r="C172" s="18" t="s">
        <v>1769</v>
      </c>
      <c r="D172" s="19" t="n">
        <f aca="false">D171*(D169+LOG10(D170))</f>
        <v>20082.45</v>
      </c>
      <c r="E172" s="18" t="s">
        <v>1533</v>
      </c>
      <c r="F172" s="18" t="s">
        <v>1500</v>
      </c>
      <c r="G172" s="18"/>
      <c r="H172" s="18"/>
    </row>
    <row r="173" customFormat="false" ht="15" hidden="false" customHeight="false" outlineLevel="0" collapsed="false">
      <c r="A173" s="18" t="s">
        <v>1758</v>
      </c>
      <c r="B173" s="18" t="s">
        <v>1770</v>
      </c>
      <c r="C173" s="18" t="s">
        <v>1771</v>
      </c>
      <c r="D173" s="19" t="n">
        <f aca="false">10^(D172/D171-D169)</f>
        <v>1000</v>
      </c>
      <c r="E173" s="18" t="s">
        <v>1618</v>
      </c>
      <c r="F173" s="18" t="s">
        <v>1511</v>
      </c>
      <c r="G173" s="18" t="s">
        <v>1772</v>
      </c>
      <c r="H173" s="18"/>
    </row>
    <row r="174" customFormat="false" ht="15" hidden="false" customHeight="false" outlineLevel="0" collapsed="false">
      <c r="A174" s="18" t="s">
        <v>1758</v>
      </c>
      <c r="B174" s="18" t="s">
        <v>1513</v>
      </c>
      <c r="C174" s="18" t="s">
        <v>1514</v>
      </c>
      <c r="D174" s="35" t="n">
        <v>0.005</v>
      </c>
      <c r="E174" s="18" t="s">
        <v>1515</v>
      </c>
      <c r="F174" s="18" t="s">
        <v>1489</v>
      </c>
      <c r="G174" s="18" t="s">
        <v>1516</v>
      </c>
      <c r="H174" s="18"/>
    </row>
    <row r="175" customFormat="false" ht="15" hidden="false" customHeight="false" outlineLevel="0" collapsed="false">
      <c r="A175" s="18" t="s">
        <v>1758</v>
      </c>
      <c r="B175" s="18" t="s">
        <v>1773</v>
      </c>
      <c r="C175" s="18" t="s">
        <v>1518</v>
      </c>
      <c r="D175" s="36" t="n">
        <f aca="false">ABS(D170-D173)/ABS(D173)</f>
        <v>0</v>
      </c>
      <c r="E175" s="18" t="s">
        <v>1515</v>
      </c>
      <c r="F175" s="18" t="s">
        <v>1480</v>
      </c>
      <c r="G175" s="18" t="s">
        <v>1519</v>
      </c>
      <c r="H175" s="18" t="str">
        <f aca="false">IF(D175&lt;=D174,"Verified","Incorrect")</f>
        <v>Verified</v>
      </c>
    </row>
    <row r="177" customFormat="false" ht="15" hidden="false" customHeight="false" outlineLevel="0" collapsed="false">
      <c r="A177" s="31" t="s">
        <v>1774</v>
      </c>
      <c r="B177" s="31" t="s">
        <v>1775</v>
      </c>
      <c r="C177" s="32"/>
      <c r="D177" s="32"/>
      <c r="E177" s="32"/>
      <c r="F177" s="32"/>
      <c r="G177" s="33" t="s">
        <v>1776</v>
      </c>
      <c r="H177" s="32"/>
    </row>
    <row r="178" customFormat="false" ht="23.85" hidden="false" customHeight="false" outlineLevel="0" collapsed="false">
      <c r="B178" s="7" t="s">
        <v>1484</v>
      </c>
      <c r="G178" s="34" t="s">
        <v>1777</v>
      </c>
    </row>
    <row r="179" customFormat="false" ht="15" hidden="false" customHeight="false" outlineLevel="0" collapsed="false">
      <c r="A179" s="18" t="s">
        <v>1774</v>
      </c>
      <c r="B179" s="18" t="s">
        <v>1778</v>
      </c>
      <c r="C179" s="18" t="s">
        <v>1779</v>
      </c>
      <c r="D179" s="35" t="n">
        <v>200</v>
      </c>
      <c r="E179" s="18" t="s">
        <v>1779</v>
      </c>
      <c r="F179" s="18" t="s">
        <v>1489</v>
      </c>
      <c r="G179" s="18" t="s">
        <v>1534</v>
      </c>
      <c r="H179" s="18"/>
    </row>
    <row r="180" customFormat="false" ht="15" hidden="false" customHeight="false" outlineLevel="0" collapsed="false">
      <c r="A180" s="18" t="s">
        <v>1774</v>
      </c>
      <c r="B180" s="18" t="s">
        <v>1780</v>
      </c>
      <c r="C180" s="18" t="s">
        <v>1781</v>
      </c>
      <c r="D180" s="19" t="n">
        <f aca="false">3.45*D179</f>
        <v>690</v>
      </c>
      <c r="E180" s="18" t="s">
        <v>1570</v>
      </c>
      <c r="F180" s="18" t="s">
        <v>1500</v>
      </c>
      <c r="G180" s="18"/>
      <c r="H180" s="18"/>
    </row>
    <row r="181" customFormat="false" ht="15" hidden="false" customHeight="false" outlineLevel="0" collapsed="false">
      <c r="A181" s="18" t="s">
        <v>1774</v>
      </c>
      <c r="B181" s="18" t="s">
        <v>1782</v>
      </c>
      <c r="C181" s="18" t="s">
        <v>1783</v>
      </c>
      <c r="D181" s="19" t="n">
        <f aca="false">500*D179*0.00689476</f>
        <v>689.476</v>
      </c>
      <c r="E181" s="18" t="s">
        <v>1570</v>
      </c>
      <c r="F181" s="18" t="s">
        <v>1511</v>
      </c>
      <c r="G181" s="18" t="s">
        <v>1784</v>
      </c>
      <c r="H181" s="18"/>
    </row>
    <row r="182" customFormat="false" ht="15" hidden="false" customHeight="false" outlineLevel="0" collapsed="false">
      <c r="A182" s="18" t="s">
        <v>1774</v>
      </c>
      <c r="B182" s="18" t="s">
        <v>1513</v>
      </c>
      <c r="C182" s="18" t="s">
        <v>1514</v>
      </c>
      <c r="D182" s="35" t="n">
        <v>0.005</v>
      </c>
      <c r="E182" s="18" t="s">
        <v>1515</v>
      </c>
      <c r="F182" s="18" t="s">
        <v>1489</v>
      </c>
      <c r="G182" s="18" t="s">
        <v>1516</v>
      </c>
      <c r="H182" s="18"/>
    </row>
    <row r="183" customFormat="false" ht="15" hidden="false" customHeight="false" outlineLevel="0" collapsed="false">
      <c r="A183" s="18" t="s">
        <v>1774</v>
      </c>
      <c r="B183" s="18" t="s">
        <v>1785</v>
      </c>
      <c r="C183" s="18" t="s">
        <v>1518</v>
      </c>
      <c r="D183" s="36" t="n">
        <f aca="false">ABS(D181-D180)/ABS(D180)</f>
        <v>0.000759420289855074</v>
      </c>
      <c r="E183" s="18" t="s">
        <v>1515</v>
      </c>
      <c r="F183" s="18" t="s">
        <v>1480</v>
      </c>
      <c r="G183" s="18" t="s">
        <v>1519</v>
      </c>
      <c r="H183" s="18" t="str">
        <f aca="false">IF(D183&lt;=D182,"Verified","Incorrect")</f>
        <v>Verified</v>
      </c>
    </row>
    <row r="185" customFormat="false" ht="15" hidden="false" customHeight="false" outlineLevel="0" collapsed="false">
      <c r="A185" s="31" t="s">
        <v>1786</v>
      </c>
      <c r="B185" s="31" t="s">
        <v>1787</v>
      </c>
      <c r="C185" s="32"/>
      <c r="D185" s="32"/>
      <c r="E185" s="32"/>
      <c r="F185" s="32"/>
      <c r="G185" s="33" t="s">
        <v>1788</v>
      </c>
      <c r="H185" s="32"/>
    </row>
    <row r="186" customFormat="false" ht="23.85" hidden="false" customHeight="false" outlineLevel="0" collapsed="false">
      <c r="B186" s="7" t="s">
        <v>1484</v>
      </c>
      <c r="G186" s="34" t="s">
        <v>1789</v>
      </c>
    </row>
    <row r="187" customFormat="false" ht="15" hidden="false" customHeight="false" outlineLevel="0" collapsed="false">
      <c r="A187" s="18" t="s">
        <v>1786</v>
      </c>
      <c r="B187" s="18" t="s">
        <v>1790</v>
      </c>
      <c r="C187" s="18" t="s">
        <v>1533</v>
      </c>
      <c r="D187" s="38" t="n">
        <v>1E-005</v>
      </c>
      <c r="E187" s="18" t="s">
        <v>1515</v>
      </c>
      <c r="F187" s="18" t="s">
        <v>1489</v>
      </c>
      <c r="G187" s="18" t="s">
        <v>1534</v>
      </c>
      <c r="H187" s="18"/>
    </row>
    <row r="188" customFormat="false" ht="15" hidden="false" customHeight="false" outlineLevel="0" collapsed="false">
      <c r="A188" s="18" t="s">
        <v>1786</v>
      </c>
      <c r="B188" s="18" t="s">
        <v>1791</v>
      </c>
      <c r="C188" s="18" t="s">
        <v>1792</v>
      </c>
      <c r="D188" s="35" t="n">
        <v>100</v>
      </c>
      <c r="E188" s="18" t="s">
        <v>1720</v>
      </c>
      <c r="F188" s="18" t="s">
        <v>1489</v>
      </c>
      <c r="G188" s="18"/>
      <c r="H188" s="18"/>
    </row>
    <row r="189" customFormat="false" ht="15" hidden="false" customHeight="false" outlineLevel="0" collapsed="false">
      <c r="A189" s="18" t="s">
        <v>1786</v>
      </c>
      <c r="B189" s="18" t="s">
        <v>1793</v>
      </c>
      <c r="C189" s="18" t="s">
        <v>1794</v>
      </c>
      <c r="D189" s="35" t="n">
        <v>1000</v>
      </c>
      <c r="E189" s="18" t="s">
        <v>1487</v>
      </c>
      <c r="F189" s="18" t="s">
        <v>1489</v>
      </c>
      <c r="G189" s="18"/>
      <c r="H189" s="18"/>
    </row>
    <row r="190" customFormat="false" ht="15" hidden="false" customHeight="false" outlineLevel="0" collapsed="false">
      <c r="A190" s="18" t="s">
        <v>1786</v>
      </c>
      <c r="B190" s="18" t="s">
        <v>1795</v>
      </c>
      <c r="C190" s="18" t="s">
        <v>1796</v>
      </c>
      <c r="D190" s="35" t="n">
        <v>2000000000</v>
      </c>
      <c r="E190" s="18" t="s">
        <v>1797</v>
      </c>
      <c r="F190" s="18" t="s">
        <v>1489</v>
      </c>
      <c r="G190" s="18" t="s">
        <v>1798</v>
      </c>
      <c r="H190" s="18"/>
    </row>
    <row r="191" customFormat="false" ht="15" hidden="false" customHeight="false" outlineLevel="0" collapsed="false">
      <c r="A191" s="18" t="s">
        <v>1786</v>
      </c>
      <c r="B191" s="18" t="s">
        <v>1799</v>
      </c>
      <c r="C191" s="18" t="s">
        <v>1498</v>
      </c>
      <c r="D191" s="19" t="n">
        <f aca="false">D187*D188*D189/D190</f>
        <v>5E-010</v>
      </c>
      <c r="E191" s="18" t="s">
        <v>1499</v>
      </c>
      <c r="F191" s="18" t="s">
        <v>1500</v>
      </c>
      <c r="G191" s="18"/>
      <c r="H191" s="18"/>
    </row>
    <row r="192" customFormat="false" ht="15" hidden="false" customHeight="false" outlineLevel="0" collapsed="false">
      <c r="A192" s="18" t="s">
        <v>1786</v>
      </c>
      <c r="B192" s="18" t="s">
        <v>1799</v>
      </c>
      <c r="C192" s="18" t="s">
        <v>1498</v>
      </c>
      <c r="D192" s="19" t="n">
        <f aca="false">D191*1000000000</f>
        <v>0.5</v>
      </c>
      <c r="E192" s="18" t="s">
        <v>1800</v>
      </c>
      <c r="F192" s="18" t="s">
        <v>1500</v>
      </c>
      <c r="G192" s="18"/>
      <c r="H192" s="18"/>
    </row>
    <row r="193" customFormat="false" ht="15" hidden="false" customHeight="false" outlineLevel="0" collapsed="false">
      <c r="A193" s="18" t="s">
        <v>1786</v>
      </c>
      <c r="B193" s="18" t="s">
        <v>1801</v>
      </c>
      <c r="C193" s="18" t="s">
        <v>1802</v>
      </c>
      <c r="D193" s="19" t="n">
        <f aca="false">D187*D188*(D189*1000)/(D190/1000000)</f>
        <v>0.5</v>
      </c>
      <c r="E193" s="18" t="s">
        <v>1800</v>
      </c>
      <c r="F193" s="18" t="s">
        <v>1511</v>
      </c>
      <c r="G193" s="18"/>
      <c r="H193" s="18"/>
    </row>
    <row r="194" customFormat="false" ht="15" hidden="false" customHeight="false" outlineLevel="0" collapsed="false">
      <c r="A194" s="18" t="s">
        <v>1786</v>
      </c>
      <c r="B194" s="18" t="s">
        <v>1513</v>
      </c>
      <c r="C194" s="18" t="s">
        <v>1514</v>
      </c>
      <c r="D194" s="35" t="n">
        <v>0.005</v>
      </c>
      <c r="E194" s="18" t="s">
        <v>1515</v>
      </c>
      <c r="F194" s="18" t="s">
        <v>1489</v>
      </c>
      <c r="G194" s="18" t="s">
        <v>1516</v>
      </c>
      <c r="H194" s="18"/>
    </row>
    <row r="195" customFormat="false" ht="15" hidden="false" customHeight="false" outlineLevel="0" collapsed="false">
      <c r="A195" s="18" t="s">
        <v>1786</v>
      </c>
      <c r="B195" s="18" t="s">
        <v>1803</v>
      </c>
      <c r="C195" s="18" t="s">
        <v>1518</v>
      </c>
      <c r="D195" s="36" t="n">
        <f aca="false">ABS(D193-D192)/ABS(D192)</f>
        <v>0</v>
      </c>
      <c r="E195" s="18" t="s">
        <v>1515</v>
      </c>
      <c r="F195" s="18" t="s">
        <v>1480</v>
      </c>
      <c r="G195" s="18" t="s">
        <v>1519</v>
      </c>
      <c r="H195" s="18" t="str">
        <f aca="false">IF(D195&lt;=D194,"Verified","Incorrect")</f>
        <v>Verified</v>
      </c>
    </row>
    <row r="197" customFormat="false" ht="15" hidden="false" customHeight="false" outlineLevel="0" collapsed="false">
      <c r="A197" s="31" t="s">
        <v>1804</v>
      </c>
      <c r="B197" s="31" t="s">
        <v>1805</v>
      </c>
      <c r="C197" s="32"/>
      <c r="D197" s="32"/>
      <c r="E197" s="32"/>
      <c r="F197" s="32"/>
      <c r="G197" s="33" t="s">
        <v>1806</v>
      </c>
      <c r="H197" s="32"/>
    </row>
    <row r="198" customFormat="false" ht="15" hidden="false" customHeight="false" outlineLevel="0" collapsed="false">
      <c r="B198" s="7" t="s">
        <v>1484</v>
      </c>
      <c r="G198" s="34" t="s">
        <v>1807</v>
      </c>
    </row>
    <row r="199" customFormat="false" ht="15" hidden="false" customHeight="false" outlineLevel="0" collapsed="false">
      <c r="A199" s="18" t="s">
        <v>1804</v>
      </c>
      <c r="B199" s="18" t="s">
        <v>1808</v>
      </c>
      <c r="C199" s="18" t="s">
        <v>1573</v>
      </c>
      <c r="D199" s="40" t="n">
        <f aca="false">'Material Properties'!H37</f>
        <v>68.9</v>
      </c>
      <c r="E199" s="18" t="s">
        <v>1574</v>
      </c>
      <c r="F199" s="18" t="s">
        <v>1530</v>
      </c>
      <c r="G199" s="18" t="s">
        <v>1530</v>
      </c>
      <c r="H199" s="18"/>
    </row>
    <row r="200" customFormat="false" ht="15" hidden="false" customHeight="false" outlineLevel="0" collapsed="false">
      <c r="A200" s="18" t="s">
        <v>1804</v>
      </c>
      <c r="B200" s="18" t="s">
        <v>1809</v>
      </c>
      <c r="C200" s="18" t="s">
        <v>1810</v>
      </c>
      <c r="D200" s="41" t="n">
        <f aca="false">'Material Properties'!I37</f>
        <v>0.33</v>
      </c>
      <c r="E200" s="18" t="s">
        <v>1515</v>
      </c>
      <c r="F200" s="18" t="s">
        <v>1530</v>
      </c>
      <c r="G200" s="18" t="s">
        <v>1530</v>
      </c>
      <c r="H200" s="18"/>
    </row>
    <row r="201" customFormat="false" ht="15" hidden="false" customHeight="false" outlineLevel="0" collapsed="false">
      <c r="A201" s="18" t="s">
        <v>1804</v>
      </c>
      <c r="B201" s="18" t="s">
        <v>1811</v>
      </c>
      <c r="C201" s="18" t="s">
        <v>1710</v>
      </c>
      <c r="D201" s="19" t="n">
        <f aca="false">D199/(2*(1+D200))</f>
        <v>25.9022556390977</v>
      </c>
      <c r="E201" s="18" t="s">
        <v>1574</v>
      </c>
      <c r="F201" s="18" t="s">
        <v>1500</v>
      </c>
      <c r="G201" s="18"/>
      <c r="H201" s="18"/>
    </row>
    <row r="202" customFormat="false" ht="15" hidden="false" customHeight="false" outlineLevel="0" collapsed="false">
      <c r="A202" s="18" t="s">
        <v>1804</v>
      </c>
      <c r="B202" s="18" t="s">
        <v>1812</v>
      </c>
      <c r="C202" s="18" t="s">
        <v>1533</v>
      </c>
      <c r="D202" s="19" t="n">
        <f aca="false">D199/(3*(1-2*D200))</f>
        <v>67.5490196078431</v>
      </c>
      <c r="E202" s="18" t="s">
        <v>1574</v>
      </c>
      <c r="F202" s="18" t="s">
        <v>1500</v>
      </c>
      <c r="G202" s="18"/>
      <c r="H202" s="18"/>
    </row>
    <row r="203" customFormat="false" ht="15" hidden="false" customHeight="false" outlineLevel="0" collapsed="false">
      <c r="A203" s="18" t="s">
        <v>1804</v>
      </c>
      <c r="B203" s="18" t="s">
        <v>1813</v>
      </c>
      <c r="C203" s="18" t="s">
        <v>1814</v>
      </c>
      <c r="D203" s="35" t="n">
        <v>26</v>
      </c>
      <c r="E203" s="18" t="s">
        <v>1574</v>
      </c>
      <c r="F203" s="18" t="s">
        <v>1489</v>
      </c>
      <c r="G203" s="18" t="s">
        <v>1815</v>
      </c>
      <c r="H203" s="18"/>
    </row>
    <row r="204" customFormat="false" ht="15" hidden="false" customHeight="false" outlineLevel="0" collapsed="false">
      <c r="A204" s="18" t="s">
        <v>1804</v>
      </c>
      <c r="B204" s="18" t="s">
        <v>1513</v>
      </c>
      <c r="C204" s="18" t="s">
        <v>1514</v>
      </c>
      <c r="D204" s="35" t="n">
        <v>0.02</v>
      </c>
      <c r="E204" s="18" t="s">
        <v>1515</v>
      </c>
      <c r="F204" s="18" t="s">
        <v>1489</v>
      </c>
      <c r="G204" s="18" t="s">
        <v>1516</v>
      </c>
      <c r="H204" s="18"/>
    </row>
    <row r="205" customFormat="false" ht="15" hidden="false" customHeight="false" outlineLevel="0" collapsed="false">
      <c r="A205" s="18" t="s">
        <v>1804</v>
      </c>
      <c r="B205" s="18" t="s">
        <v>1816</v>
      </c>
      <c r="C205" s="18" t="s">
        <v>1518</v>
      </c>
      <c r="D205" s="36" t="n">
        <f aca="false">ABS(D203-D201)/ABS(D201)</f>
        <v>0.00377358490566033</v>
      </c>
      <c r="E205" s="18" t="s">
        <v>1515</v>
      </c>
      <c r="F205" s="18" t="s">
        <v>1480</v>
      </c>
      <c r="G205" s="18" t="s">
        <v>1519</v>
      </c>
      <c r="H205" s="18" t="str">
        <f aca="false">IF(D205&lt;=D204,"Verified","Incorrect")</f>
        <v>Verified</v>
      </c>
    </row>
    <row r="207" customFormat="false" ht="23.85" hidden="false" customHeight="false" outlineLevel="0" collapsed="false">
      <c r="A207" s="18" t="s">
        <v>1817</v>
      </c>
      <c r="B207" s="18" t="s">
        <v>1818</v>
      </c>
      <c r="C207" s="18" t="s">
        <v>1817</v>
      </c>
      <c r="D207" s="18" t="s">
        <v>1819</v>
      </c>
      <c r="E207" s="18" t="s">
        <v>1817</v>
      </c>
      <c r="F207" s="18" t="s">
        <v>1820</v>
      </c>
      <c r="G207" s="18" t="s">
        <v>1821</v>
      </c>
      <c r="H207" s="18"/>
    </row>
  </sheetData>
  <conditionalFormatting sqref="H5:H207">
    <cfRule type="cellIs" priority="2" operator="equal" aboveAverage="0" equalAverage="0" bottom="0" percent="0" rank="0" text="" dxfId="10">
      <formula>"Verified"</formula>
    </cfRule>
    <cfRule type="cellIs" priority="3" operator="equal" aboveAverage="0" equalAverage="0" bottom="0" percent="0" rank="0" text="" dxfId="11">
      <formula>"Conditionally verified"</formula>
    </cfRule>
    <cfRule type="cellIs" priority="4" operator="equal" aboveAverage="0" equalAverage="0" bottom="0" percent="0" rank="0" text="" dxfId="12">
      <formula>"Incorrect"</formula>
    </cfRule>
    <cfRule type="cellIs" priority="5" operator="equal" aboveAverage="0" equalAverage="0" bottom="0" percent="0" rank="0" text="" dxfId="13">
      <formula>"Unverified"</formula>
    </cfRule>
    <cfRule type="cellIs" priority="6" operator="equal" aboveAverage="0" equalAverage="0" bottom="0" percent="0" rank="0" text="" dxfId="14">
      <formula>"Not applicable (gap list)"</formula>
    </cfRule>
  </conditionalFormatting>
  <dataValidations count="1">
    <dataValidation allowBlank="true" errorStyle="stop" operator="between" showDropDown="false" showErrorMessage="false" showInputMessage="false" sqref="H5:H207" type="list">
      <formula1>"Verified,Conditionally verified,Incorrect,Unverified"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9" min="8" style="0" width="20"/>
    <col collapsed="false" customWidth="true" hidden="false" outlineLevel="0" max="10" min="10" style="0" width="36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1" t="s">
        <v>1822</v>
      </c>
    </row>
    <row r="2" customFormat="false" ht="15" hidden="false" customHeight="false" outlineLevel="0" collapsed="false">
      <c r="A2" s="16" t="s">
        <v>1823</v>
      </c>
    </row>
    <row r="4" customFormat="false" ht="42" hidden="false" customHeight="true" outlineLevel="0" collapsed="false">
      <c r="A4" s="17" t="s">
        <v>1089</v>
      </c>
      <c r="B4" s="17" t="s">
        <v>1824</v>
      </c>
      <c r="C4" s="17" t="s">
        <v>1825</v>
      </c>
      <c r="D4" s="17" t="s">
        <v>1826</v>
      </c>
      <c r="E4" s="17" t="s">
        <v>1827</v>
      </c>
      <c r="F4" s="17" t="s">
        <v>1828</v>
      </c>
      <c r="G4" s="17" t="s">
        <v>1829</v>
      </c>
      <c r="H4" s="17" t="s">
        <v>1830</v>
      </c>
      <c r="I4" s="17" t="s">
        <v>1831</v>
      </c>
      <c r="J4" s="17" t="s">
        <v>1832</v>
      </c>
      <c r="K4" s="17" t="s">
        <v>1833</v>
      </c>
    </row>
    <row r="5" customFormat="false" ht="35.05" hidden="false" customHeight="false" outlineLevel="0" collapsed="false">
      <c r="A5" s="18" t="s">
        <v>1834</v>
      </c>
      <c r="B5" s="18" t="s">
        <v>1835</v>
      </c>
      <c r="C5" s="18" t="s">
        <v>1836</v>
      </c>
      <c r="D5" s="18" t="s">
        <v>1837</v>
      </c>
      <c r="E5" s="18" t="s">
        <v>1838</v>
      </c>
      <c r="F5" s="18" t="s">
        <v>1839</v>
      </c>
      <c r="G5" s="18" t="s">
        <v>1840</v>
      </c>
      <c r="H5" s="18" t="s">
        <v>1841</v>
      </c>
      <c r="I5" s="18" t="s">
        <v>1842</v>
      </c>
      <c r="J5" s="18" t="s">
        <v>1843</v>
      </c>
      <c r="K5" s="18" t="s">
        <v>20</v>
      </c>
    </row>
    <row r="6" customFormat="false" ht="23.85" hidden="false" customHeight="false" outlineLevel="0" collapsed="false">
      <c r="A6" s="18" t="s">
        <v>1844</v>
      </c>
      <c r="B6" s="18" t="s">
        <v>1845</v>
      </c>
      <c r="C6" s="18" t="s">
        <v>1846</v>
      </c>
      <c r="D6" s="18" t="s">
        <v>1847</v>
      </c>
      <c r="E6" s="18" t="s">
        <v>1848</v>
      </c>
      <c r="F6" s="18" t="s">
        <v>1849</v>
      </c>
      <c r="G6" s="18" t="s">
        <v>1850</v>
      </c>
      <c r="H6" s="18" t="s">
        <v>1851</v>
      </c>
      <c r="I6" s="18" t="s">
        <v>1817</v>
      </c>
      <c r="J6" s="18" t="s">
        <v>1852</v>
      </c>
      <c r="K6" s="18" t="s">
        <v>20</v>
      </c>
    </row>
    <row r="7" customFormat="false" ht="23.85" hidden="false" customHeight="false" outlineLevel="0" collapsed="false">
      <c r="A7" s="18" t="s">
        <v>1853</v>
      </c>
      <c r="B7" s="18" t="s">
        <v>1854</v>
      </c>
      <c r="C7" s="18" t="s">
        <v>1855</v>
      </c>
      <c r="D7" s="18" t="s">
        <v>1856</v>
      </c>
      <c r="E7" s="18" t="s">
        <v>1857</v>
      </c>
      <c r="F7" s="18" t="s">
        <v>1858</v>
      </c>
      <c r="G7" s="18" t="s">
        <v>1859</v>
      </c>
      <c r="H7" s="18" t="s">
        <v>1860</v>
      </c>
      <c r="I7" s="18" t="s">
        <v>1817</v>
      </c>
      <c r="J7" s="18" t="s">
        <v>1861</v>
      </c>
      <c r="K7" s="18" t="s">
        <v>20</v>
      </c>
    </row>
    <row r="8" customFormat="false" ht="23.85" hidden="false" customHeight="false" outlineLevel="0" collapsed="false">
      <c r="A8" s="18" t="s">
        <v>1862</v>
      </c>
      <c r="B8" s="18" t="s">
        <v>1778</v>
      </c>
      <c r="C8" s="18" t="s">
        <v>1863</v>
      </c>
      <c r="D8" s="18" t="s">
        <v>1864</v>
      </c>
      <c r="E8" s="18" t="s">
        <v>1865</v>
      </c>
      <c r="F8" s="18" t="s">
        <v>1866</v>
      </c>
      <c r="G8" s="18" t="s">
        <v>1867</v>
      </c>
      <c r="H8" s="18" t="s">
        <v>1868</v>
      </c>
      <c r="I8" s="18" t="s">
        <v>1869</v>
      </c>
      <c r="J8" s="18" t="s">
        <v>1870</v>
      </c>
      <c r="K8" s="18" t="s">
        <v>20</v>
      </c>
    </row>
    <row r="9" customFormat="false" ht="23.85" hidden="false" customHeight="false" outlineLevel="0" collapsed="false">
      <c r="A9" s="18" t="s">
        <v>1871</v>
      </c>
      <c r="B9" s="18" t="s">
        <v>1872</v>
      </c>
      <c r="C9" s="18" t="s">
        <v>1873</v>
      </c>
      <c r="D9" s="18" t="s">
        <v>1874</v>
      </c>
      <c r="E9" s="18" t="s">
        <v>1875</v>
      </c>
      <c r="F9" s="18" t="s">
        <v>1876</v>
      </c>
      <c r="G9" s="18" t="s">
        <v>1877</v>
      </c>
      <c r="H9" s="18" t="s">
        <v>1878</v>
      </c>
      <c r="I9" s="18" t="s">
        <v>1879</v>
      </c>
      <c r="J9" s="18" t="s">
        <v>1861</v>
      </c>
      <c r="K9" s="18" t="s">
        <v>20</v>
      </c>
    </row>
    <row r="10" customFormat="false" ht="23.85" hidden="false" customHeight="false" outlineLevel="0" collapsed="false">
      <c r="A10" s="18" t="s">
        <v>1880</v>
      </c>
      <c r="B10" s="18" t="s">
        <v>1881</v>
      </c>
      <c r="C10" s="18" t="s">
        <v>1882</v>
      </c>
      <c r="D10" s="18" t="s">
        <v>1883</v>
      </c>
      <c r="E10" s="18" t="s">
        <v>1884</v>
      </c>
      <c r="F10" s="18" t="s">
        <v>1885</v>
      </c>
      <c r="G10" s="18" t="s">
        <v>1886</v>
      </c>
      <c r="H10" s="18" t="s">
        <v>1887</v>
      </c>
      <c r="I10" s="18" t="s">
        <v>1888</v>
      </c>
      <c r="J10" s="18" t="s">
        <v>1861</v>
      </c>
      <c r="K10" s="18" t="s">
        <v>22</v>
      </c>
    </row>
    <row r="11" customFormat="false" ht="23.85" hidden="false" customHeight="false" outlineLevel="0" collapsed="false">
      <c r="A11" s="18" t="s">
        <v>1889</v>
      </c>
      <c r="B11" s="18" t="s">
        <v>1890</v>
      </c>
      <c r="C11" s="18" t="s">
        <v>1891</v>
      </c>
      <c r="D11" s="18" t="s">
        <v>1892</v>
      </c>
      <c r="E11" s="18" t="s">
        <v>1817</v>
      </c>
      <c r="F11" s="18" t="s">
        <v>1893</v>
      </c>
      <c r="G11" s="18" t="s">
        <v>1894</v>
      </c>
      <c r="H11" s="18" t="s">
        <v>1895</v>
      </c>
      <c r="I11" s="18" t="s">
        <v>1817</v>
      </c>
      <c r="J11" s="18" t="s">
        <v>1896</v>
      </c>
      <c r="K11" s="18" t="s">
        <v>20</v>
      </c>
    </row>
    <row r="12" customFormat="false" ht="23.85" hidden="false" customHeight="false" outlineLevel="0" collapsed="false">
      <c r="A12" s="18" t="s">
        <v>1897</v>
      </c>
      <c r="B12" s="18" t="s">
        <v>1898</v>
      </c>
      <c r="C12" s="18" t="s">
        <v>1899</v>
      </c>
      <c r="D12" s="18" t="s">
        <v>1900</v>
      </c>
      <c r="E12" s="18" t="s">
        <v>1901</v>
      </c>
      <c r="F12" s="18" t="s">
        <v>1902</v>
      </c>
      <c r="G12" s="18" t="s">
        <v>1903</v>
      </c>
      <c r="H12" s="18" t="s">
        <v>1904</v>
      </c>
      <c r="I12" s="18" t="s">
        <v>1905</v>
      </c>
      <c r="J12" s="18" t="s">
        <v>1906</v>
      </c>
      <c r="K12" s="18" t="s">
        <v>20</v>
      </c>
    </row>
    <row r="13" customFormat="false" ht="23.85" hidden="false" customHeight="false" outlineLevel="0" collapsed="false">
      <c r="A13" s="18" t="s">
        <v>1907</v>
      </c>
      <c r="B13" s="18" t="s">
        <v>1908</v>
      </c>
      <c r="C13" s="18" t="s">
        <v>1909</v>
      </c>
      <c r="D13" s="18" t="s">
        <v>1847</v>
      </c>
      <c r="E13" s="18" t="s">
        <v>1910</v>
      </c>
      <c r="F13" s="18" t="s">
        <v>1911</v>
      </c>
      <c r="G13" s="18" t="s">
        <v>1912</v>
      </c>
      <c r="H13" s="18" t="s">
        <v>1913</v>
      </c>
      <c r="I13" s="18" t="s">
        <v>1817</v>
      </c>
      <c r="J13" s="18" t="s">
        <v>1861</v>
      </c>
      <c r="K13" s="18" t="s">
        <v>20</v>
      </c>
    </row>
    <row r="14" customFormat="false" ht="15" hidden="false" customHeight="false" outlineLevel="0" collapsed="false">
      <c r="A14" s="18" t="s">
        <v>1914</v>
      </c>
      <c r="B14" s="18" t="s">
        <v>1915</v>
      </c>
      <c r="C14" s="18" t="s">
        <v>1916</v>
      </c>
      <c r="D14" s="18" t="s">
        <v>1917</v>
      </c>
      <c r="E14" s="18" t="s">
        <v>1918</v>
      </c>
      <c r="F14" s="18" t="s">
        <v>1919</v>
      </c>
      <c r="G14" s="18" t="s">
        <v>1920</v>
      </c>
      <c r="H14" s="18" t="s">
        <v>1921</v>
      </c>
      <c r="I14" s="18" t="s">
        <v>1922</v>
      </c>
      <c r="J14" s="18" t="s">
        <v>1861</v>
      </c>
      <c r="K14" s="18" t="s">
        <v>22</v>
      </c>
    </row>
    <row r="15" customFormat="false" ht="35.05" hidden="false" customHeight="false" outlineLevel="0" collapsed="false">
      <c r="A15" s="18" t="s">
        <v>1923</v>
      </c>
      <c r="B15" s="18" t="s">
        <v>1924</v>
      </c>
      <c r="C15" s="18" t="s">
        <v>1925</v>
      </c>
      <c r="D15" s="18" t="s">
        <v>1926</v>
      </c>
      <c r="E15" s="18" t="s">
        <v>1927</v>
      </c>
      <c r="F15" s="18" t="s">
        <v>1928</v>
      </c>
      <c r="G15" s="18" t="s">
        <v>1929</v>
      </c>
      <c r="H15" s="18" t="s">
        <v>1930</v>
      </c>
      <c r="I15" s="18" t="s">
        <v>1817</v>
      </c>
      <c r="J15" s="18" t="s">
        <v>1931</v>
      </c>
      <c r="K15" s="18" t="s">
        <v>20</v>
      </c>
    </row>
    <row r="16" customFormat="false" ht="35.05" hidden="false" customHeight="false" outlineLevel="0" collapsed="false">
      <c r="A16" s="18" t="s">
        <v>1932</v>
      </c>
      <c r="B16" s="18" t="s">
        <v>1933</v>
      </c>
      <c r="C16" s="18" t="s">
        <v>1934</v>
      </c>
      <c r="D16" s="18" t="s">
        <v>1935</v>
      </c>
      <c r="E16" s="18" t="s">
        <v>1936</v>
      </c>
      <c r="F16" s="18" t="s">
        <v>1937</v>
      </c>
      <c r="G16" s="18" t="s">
        <v>1938</v>
      </c>
      <c r="H16" s="18" t="s">
        <v>1939</v>
      </c>
      <c r="I16" s="18" t="s">
        <v>1940</v>
      </c>
      <c r="J16" s="18" t="s">
        <v>1941</v>
      </c>
      <c r="K16" s="18" t="s">
        <v>22</v>
      </c>
    </row>
    <row r="17" customFormat="false" ht="23.85" hidden="false" customHeight="false" outlineLevel="0" collapsed="false">
      <c r="A17" s="18" t="s">
        <v>1942</v>
      </c>
      <c r="B17" s="18" t="s">
        <v>1943</v>
      </c>
      <c r="C17" s="18" t="s">
        <v>1944</v>
      </c>
      <c r="D17" s="18" t="s">
        <v>1945</v>
      </c>
      <c r="E17" s="18" t="s">
        <v>1946</v>
      </c>
      <c r="F17" s="18" t="s">
        <v>1947</v>
      </c>
      <c r="G17" s="18" t="s">
        <v>1948</v>
      </c>
      <c r="H17" s="18" t="s">
        <v>1949</v>
      </c>
      <c r="I17" s="18" t="s">
        <v>1817</v>
      </c>
      <c r="J17" s="18" t="s">
        <v>1861</v>
      </c>
      <c r="K17" s="18" t="s">
        <v>20</v>
      </c>
    </row>
    <row r="18" customFormat="false" ht="23.85" hidden="false" customHeight="false" outlineLevel="0" collapsed="false">
      <c r="A18" s="18" t="s">
        <v>1950</v>
      </c>
      <c r="B18" s="18" t="s">
        <v>1951</v>
      </c>
      <c r="C18" s="18" t="s">
        <v>1952</v>
      </c>
      <c r="D18" s="18" t="s">
        <v>1953</v>
      </c>
      <c r="E18" s="18" t="s">
        <v>1954</v>
      </c>
      <c r="F18" s="18" t="s">
        <v>1955</v>
      </c>
      <c r="G18" s="18" t="s">
        <v>1956</v>
      </c>
      <c r="H18" s="18" t="s">
        <v>1957</v>
      </c>
      <c r="I18" s="18" t="s">
        <v>1817</v>
      </c>
      <c r="J18" s="18" t="s">
        <v>1958</v>
      </c>
      <c r="K18" s="18" t="s">
        <v>20</v>
      </c>
    </row>
    <row r="19" customFormat="false" ht="15" hidden="false" customHeight="false" outlineLevel="0" collapsed="false">
      <c r="A19" s="18" t="s">
        <v>1959</v>
      </c>
      <c r="B19" s="18" t="s">
        <v>1960</v>
      </c>
      <c r="C19" s="18" t="s">
        <v>1961</v>
      </c>
      <c r="D19" s="18" t="s">
        <v>1953</v>
      </c>
      <c r="E19" s="18" t="s">
        <v>1962</v>
      </c>
      <c r="F19" s="18" t="s">
        <v>1963</v>
      </c>
      <c r="G19" s="18" t="s">
        <v>1964</v>
      </c>
      <c r="H19" s="18" t="s">
        <v>1817</v>
      </c>
      <c r="I19" s="18" t="s">
        <v>1817</v>
      </c>
      <c r="J19" s="18" t="s">
        <v>1861</v>
      </c>
      <c r="K19" s="18" t="s">
        <v>20</v>
      </c>
    </row>
    <row r="20" customFormat="false" ht="23.85" hidden="false" customHeight="false" outlineLevel="0" collapsed="false">
      <c r="A20" s="18" t="s">
        <v>1965</v>
      </c>
      <c r="B20" s="18" t="s">
        <v>1966</v>
      </c>
      <c r="C20" s="18" t="s">
        <v>1967</v>
      </c>
      <c r="D20" s="18" t="s">
        <v>1968</v>
      </c>
      <c r="E20" s="18" t="s">
        <v>1969</v>
      </c>
      <c r="F20" s="18" t="s">
        <v>1970</v>
      </c>
      <c r="G20" s="18" t="s">
        <v>1971</v>
      </c>
      <c r="H20" s="18" t="s">
        <v>1972</v>
      </c>
      <c r="I20" s="18" t="s">
        <v>1973</v>
      </c>
      <c r="J20" s="18" t="s">
        <v>1861</v>
      </c>
      <c r="K20" s="18" t="s">
        <v>22</v>
      </c>
    </row>
    <row r="21" customFormat="false" ht="15" hidden="false" customHeight="false" outlineLevel="0" collapsed="false">
      <c r="A21" s="18" t="s">
        <v>1974</v>
      </c>
      <c r="B21" s="18" t="s">
        <v>1975</v>
      </c>
      <c r="C21" s="18" t="s">
        <v>1976</v>
      </c>
      <c r="D21" s="18" t="s">
        <v>1977</v>
      </c>
      <c r="E21" s="18" t="s">
        <v>1978</v>
      </c>
      <c r="F21" s="18" t="s">
        <v>1979</v>
      </c>
      <c r="G21" s="18" t="s">
        <v>1980</v>
      </c>
      <c r="H21" s="18" t="s">
        <v>1981</v>
      </c>
      <c r="I21" s="18" t="s">
        <v>1817</v>
      </c>
      <c r="J21" s="18" t="s">
        <v>1982</v>
      </c>
      <c r="K21" s="18" t="s">
        <v>20</v>
      </c>
    </row>
    <row r="22" customFormat="false" ht="23.85" hidden="false" customHeight="false" outlineLevel="0" collapsed="false">
      <c r="A22" s="18" t="s">
        <v>1983</v>
      </c>
      <c r="B22" s="18" t="s">
        <v>1984</v>
      </c>
      <c r="C22" s="18" t="s">
        <v>1985</v>
      </c>
      <c r="D22" s="18" t="s">
        <v>1986</v>
      </c>
      <c r="E22" s="18" t="s">
        <v>1987</v>
      </c>
      <c r="F22" s="18" t="s">
        <v>1988</v>
      </c>
      <c r="G22" s="18" t="s">
        <v>1989</v>
      </c>
      <c r="H22" s="18" t="s">
        <v>1990</v>
      </c>
      <c r="I22" s="18" t="s">
        <v>1817</v>
      </c>
      <c r="J22" s="18" t="s">
        <v>1991</v>
      </c>
      <c r="K22" s="18" t="s">
        <v>20</v>
      </c>
    </row>
    <row r="23" customFormat="false" ht="15" hidden="false" customHeight="false" outlineLevel="0" collapsed="false">
      <c r="A23" s="18" t="s">
        <v>1992</v>
      </c>
      <c r="B23" s="18" t="s">
        <v>1993</v>
      </c>
      <c r="C23" s="18" t="s">
        <v>1994</v>
      </c>
      <c r="D23" s="18" t="s">
        <v>1935</v>
      </c>
      <c r="E23" s="18" t="s">
        <v>1995</v>
      </c>
      <c r="F23" s="18" t="s">
        <v>1996</v>
      </c>
      <c r="G23" s="18" t="s">
        <v>1997</v>
      </c>
      <c r="H23" s="18" t="s">
        <v>1998</v>
      </c>
      <c r="I23" s="18" t="s">
        <v>1817</v>
      </c>
      <c r="J23" s="18" t="s">
        <v>1861</v>
      </c>
      <c r="K23" s="18" t="s">
        <v>20</v>
      </c>
    </row>
    <row r="24" customFormat="false" ht="23.85" hidden="false" customHeight="false" outlineLevel="0" collapsed="false">
      <c r="A24" s="18" t="s">
        <v>1999</v>
      </c>
      <c r="B24" s="18" t="s">
        <v>2000</v>
      </c>
      <c r="C24" s="18" t="s">
        <v>2001</v>
      </c>
      <c r="D24" s="18" t="s">
        <v>2002</v>
      </c>
      <c r="E24" s="18" t="s">
        <v>2003</v>
      </c>
      <c r="F24" s="18" t="s">
        <v>2004</v>
      </c>
      <c r="G24" s="18" t="s">
        <v>2005</v>
      </c>
      <c r="H24" s="18" t="s">
        <v>2006</v>
      </c>
      <c r="I24" s="18" t="s">
        <v>1817</v>
      </c>
      <c r="J24" s="18" t="s">
        <v>2007</v>
      </c>
      <c r="K24" s="18" t="s">
        <v>20</v>
      </c>
    </row>
    <row r="25" customFormat="false" ht="15" hidden="false" customHeight="false" outlineLevel="0" collapsed="false">
      <c r="A25" s="18" t="s">
        <v>2008</v>
      </c>
      <c r="B25" s="18" t="s">
        <v>2009</v>
      </c>
      <c r="C25" s="18" t="s">
        <v>2010</v>
      </c>
      <c r="D25" s="18" t="s">
        <v>2011</v>
      </c>
      <c r="E25" s="18" t="s">
        <v>2012</v>
      </c>
      <c r="F25" s="18" t="s">
        <v>2013</v>
      </c>
      <c r="G25" s="18" t="s">
        <v>2014</v>
      </c>
      <c r="H25" s="18" t="s">
        <v>2015</v>
      </c>
      <c r="I25" s="18" t="s">
        <v>1817</v>
      </c>
      <c r="J25" s="18" t="s">
        <v>2016</v>
      </c>
      <c r="K25" s="18" t="s">
        <v>20</v>
      </c>
    </row>
    <row r="26" customFormat="false" ht="23.85" hidden="false" customHeight="false" outlineLevel="0" collapsed="false">
      <c r="A26" s="18" t="s">
        <v>2017</v>
      </c>
      <c r="B26" s="18" t="s">
        <v>2018</v>
      </c>
      <c r="C26" s="18" t="s">
        <v>2019</v>
      </c>
      <c r="D26" s="18" t="s">
        <v>2020</v>
      </c>
      <c r="E26" s="18" t="s">
        <v>2021</v>
      </c>
      <c r="F26" s="18" t="s">
        <v>2022</v>
      </c>
      <c r="G26" s="18" t="s">
        <v>2023</v>
      </c>
      <c r="H26" s="18" t="s">
        <v>2024</v>
      </c>
      <c r="I26" s="18" t="s">
        <v>1817</v>
      </c>
      <c r="J26" s="18" t="s">
        <v>2025</v>
      </c>
      <c r="K26" s="18" t="s">
        <v>20</v>
      </c>
    </row>
    <row r="27" customFormat="false" ht="23.85" hidden="false" customHeight="false" outlineLevel="0" collapsed="false">
      <c r="A27" s="18" t="s">
        <v>2026</v>
      </c>
      <c r="B27" s="18" t="s">
        <v>2027</v>
      </c>
      <c r="C27" s="18" t="s">
        <v>2028</v>
      </c>
      <c r="D27" s="18" t="s">
        <v>2029</v>
      </c>
      <c r="E27" s="18" t="s">
        <v>2030</v>
      </c>
      <c r="F27" s="18" t="s">
        <v>2031</v>
      </c>
      <c r="G27" s="18" t="s">
        <v>2032</v>
      </c>
      <c r="H27" s="18" t="s">
        <v>2033</v>
      </c>
      <c r="I27" s="18" t="s">
        <v>1817</v>
      </c>
      <c r="J27" s="18" t="s">
        <v>2034</v>
      </c>
      <c r="K27" s="18" t="s">
        <v>20</v>
      </c>
    </row>
    <row r="28" customFormat="false" ht="23.85" hidden="false" customHeight="false" outlineLevel="0" collapsed="false">
      <c r="A28" s="18" t="s">
        <v>2035</v>
      </c>
      <c r="B28" s="18" t="s">
        <v>2036</v>
      </c>
      <c r="C28" s="18" t="s">
        <v>2037</v>
      </c>
      <c r="D28" s="18" t="s">
        <v>2038</v>
      </c>
      <c r="E28" s="18" t="s">
        <v>2039</v>
      </c>
      <c r="F28" s="18" t="s">
        <v>2040</v>
      </c>
      <c r="G28" s="18" t="s">
        <v>2041</v>
      </c>
      <c r="H28" s="18" t="s">
        <v>2042</v>
      </c>
      <c r="I28" s="18" t="s">
        <v>1817</v>
      </c>
      <c r="J28" s="18" t="s">
        <v>2034</v>
      </c>
      <c r="K28" s="18" t="s">
        <v>20</v>
      </c>
    </row>
    <row r="29" customFormat="false" ht="15" hidden="false" customHeight="false" outlineLevel="0" collapsed="false">
      <c r="A29" s="18" t="s">
        <v>2043</v>
      </c>
      <c r="B29" s="18" t="s">
        <v>2044</v>
      </c>
      <c r="C29" s="18" t="s">
        <v>2045</v>
      </c>
      <c r="D29" s="18" t="s">
        <v>2046</v>
      </c>
      <c r="E29" s="18" t="s">
        <v>2047</v>
      </c>
      <c r="F29" s="18" t="s">
        <v>2048</v>
      </c>
      <c r="G29" s="18" t="s">
        <v>2049</v>
      </c>
      <c r="H29" s="18" t="s">
        <v>2050</v>
      </c>
      <c r="I29" s="18" t="s">
        <v>1817</v>
      </c>
      <c r="J29" s="18" t="s">
        <v>2051</v>
      </c>
      <c r="K29" s="18" t="s">
        <v>22</v>
      </c>
    </row>
    <row r="30" customFormat="false" ht="23.85" hidden="false" customHeight="false" outlineLevel="0" collapsed="false">
      <c r="A30" s="18" t="s">
        <v>2052</v>
      </c>
      <c r="B30" s="18" t="s">
        <v>2053</v>
      </c>
      <c r="C30" s="18" t="s">
        <v>2054</v>
      </c>
      <c r="D30" s="18" t="s">
        <v>2055</v>
      </c>
      <c r="E30" s="18" t="s">
        <v>2056</v>
      </c>
      <c r="F30" s="18" t="s">
        <v>2057</v>
      </c>
      <c r="G30" s="18" t="s">
        <v>2058</v>
      </c>
      <c r="H30" s="18" t="s">
        <v>2059</v>
      </c>
      <c r="I30" s="18" t="s">
        <v>1817</v>
      </c>
      <c r="J30" s="18" t="s">
        <v>2060</v>
      </c>
      <c r="K30" s="18" t="s">
        <v>22</v>
      </c>
    </row>
    <row r="31" customFormat="false" ht="23.85" hidden="false" customHeight="false" outlineLevel="0" collapsed="false">
      <c r="A31" s="18" t="s">
        <v>2061</v>
      </c>
      <c r="B31" s="18" t="s">
        <v>2062</v>
      </c>
      <c r="C31" s="18" t="s">
        <v>2063</v>
      </c>
      <c r="D31" s="18" t="s">
        <v>2064</v>
      </c>
      <c r="E31" s="18" t="s">
        <v>2065</v>
      </c>
      <c r="F31" s="18" t="s">
        <v>2066</v>
      </c>
      <c r="G31" s="18" t="s">
        <v>2067</v>
      </c>
      <c r="H31" s="18" t="s">
        <v>2068</v>
      </c>
      <c r="I31" s="18" t="s">
        <v>1817</v>
      </c>
      <c r="J31" s="18" t="s">
        <v>2069</v>
      </c>
      <c r="K31" s="18" t="s">
        <v>20</v>
      </c>
    </row>
    <row r="32" customFormat="false" ht="15" hidden="false" customHeight="false" outlineLevel="0" collapsed="false">
      <c r="A32" s="18" t="s">
        <v>2070</v>
      </c>
      <c r="B32" s="18" t="s">
        <v>2071</v>
      </c>
      <c r="C32" s="18" t="s">
        <v>2072</v>
      </c>
      <c r="D32" s="18" t="s">
        <v>2073</v>
      </c>
      <c r="E32" s="18" t="s">
        <v>2074</v>
      </c>
      <c r="F32" s="18" t="s">
        <v>2075</v>
      </c>
      <c r="G32" s="18" t="s">
        <v>2076</v>
      </c>
      <c r="H32" s="18" t="s">
        <v>2077</v>
      </c>
      <c r="I32" s="18" t="s">
        <v>1817</v>
      </c>
      <c r="J32" s="18" t="s">
        <v>2078</v>
      </c>
      <c r="K32" s="18" t="s">
        <v>20</v>
      </c>
    </row>
    <row r="33" customFormat="false" ht="15" hidden="false" customHeight="false" outlineLevel="0" collapsed="false">
      <c r="A33" s="18" t="s">
        <v>2079</v>
      </c>
      <c r="B33" s="18" t="s">
        <v>2080</v>
      </c>
      <c r="C33" s="18" t="s">
        <v>2081</v>
      </c>
      <c r="D33" s="18" t="s">
        <v>1935</v>
      </c>
      <c r="E33" s="18" t="s">
        <v>2082</v>
      </c>
      <c r="F33" s="18" t="s">
        <v>2083</v>
      </c>
      <c r="G33" s="18" t="s">
        <v>2084</v>
      </c>
      <c r="H33" s="18" t="s">
        <v>2085</v>
      </c>
      <c r="I33" s="18" t="s">
        <v>1817</v>
      </c>
      <c r="J33" s="18" t="s">
        <v>2086</v>
      </c>
      <c r="K33" s="18" t="s">
        <v>20</v>
      </c>
    </row>
    <row r="34" customFormat="false" ht="15" hidden="false" customHeight="false" outlineLevel="0" collapsed="false">
      <c r="A34" s="18" t="s">
        <v>2087</v>
      </c>
      <c r="B34" s="18" t="s">
        <v>2088</v>
      </c>
      <c r="C34" s="18" t="s">
        <v>2089</v>
      </c>
      <c r="D34" s="18" t="s">
        <v>1935</v>
      </c>
      <c r="E34" s="18" t="s">
        <v>2090</v>
      </c>
      <c r="F34" s="18" t="s">
        <v>2091</v>
      </c>
      <c r="G34" s="18" t="s">
        <v>2092</v>
      </c>
      <c r="H34" s="18" t="s">
        <v>2093</v>
      </c>
      <c r="I34" s="18" t="s">
        <v>1817</v>
      </c>
      <c r="J34" s="18" t="s">
        <v>2094</v>
      </c>
      <c r="K34" s="18" t="s">
        <v>20</v>
      </c>
    </row>
    <row r="35" customFormat="false" ht="15" hidden="false" customHeight="false" outlineLevel="0" collapsed="false">
      <c r="A35" s="18" t="s">
        <v>2095</v>
      </c>
      <c r="B35" s="18" t="s">
        <v>2096</v>
      </c>
      <c r="C35" s="18" t="s">
        <v>2097</v>
      </c>
      <c r="D35" s="18" t="s">
        <v>1935</v>
      </c>
      <c r="E35" s="18" t="s">
        <v>2098</v>
      </c>
      <c r="F35" s="18" t="s">
        <v>2099</v>
      </c>
      <c r="G35" s="18" t="s">
        <v>2100</v>
      </c>
      <c r="H35" s="18" t="s">
        <v>2101</v>
      </c>
      <c r="I35" s="18" t="s">
        <v>1817</v>
      </c>
      <c r="J35" s="18" t="s">
        <v>2102</v>
      </c>
      <c r="K35" s="18" t="s">
        <v>20</v>
      </c>
    </row>
    <row r="36" customFormat="false" ht="15" hidden="false" customHeight="false" outlineLevel="0" collapsed="false">
      <c r="A36" s="18" t="s">
        <v>2103</v>
      </c>
      <c r="B36" s="18" t="s">
        <v>2104</v>
      </c>
      <c r="C36" s="18" t="s">
        <v>2105</v>
      </c>
      <c r="D36" s="18" t="s">
        <v>2106</v>
      </c>
      <c r="E36" s="18" t="s">
        <v>2107</v>
      </c>
      <c r="F36" s="18" t="s">
        <v>2108</v>
      </c>
      <c r="G36" s="18" t="s">
        <v>1817</v>
      </c>
      <c r="H36" s="18" t="s">
        <v>2109</v>
      </c>
      <c r="I36" s="18" t="s">
        <v>1817</v>
      </c>
      <c r="J36" s="18" t="s">
        <v>1861</v>
      </c>
      <c r="K36" s="18" t="s">
        <v>20</v>
      </c>
    </row>
    <row r="37" customFormat="false" ht="35.05" hidden="false" customHeight="false" outlineLevel="0" collapsed="false">
      <c r="A37" s="18" t="s">
        <v>2110</v>
      </c>
      <c r="B37" s="18" t="s">
        <v>2111</v>
      </c>
      <c r="C37" s="18" t="s">
        <v>2112</v>
      </c>
      <c r="D37" s="18" t="s">
        <v>2113</v>
      </c>
      <c r="E37" s="18" t="s">
        <v>2114</v>
      </c>
      <c r="F37" s="18" t="s">
        <v>2115</v>
      </c>
      <c r="G37" s="18" t="s">
        <v>2116</v>
      </c>
      <c r="H37" s="18" t="s">
        <v>2117</v>
      </c>
      <c r="I37" s="18" t="s">
        <v>1817</v>
      </c>
      <c r="J37" s="18" t="s">
        <v>2118</v>
      </c>
      <c r="K37" s="18" t="s">
        <v>22</v>
      </c>
    </row>
    <row r="38" customFormat="false" ht="23.85" hidden="false" customHeight="false" outlineLevel="0" collapsed="false">
      <c r="A38" s="18" t="s">
        <v>2119</v>
      </c>
      <c r="B38" s="18" t="s">
        <v>2120</v>
      </c>
      <c r="C38" s="18" t="s">
        <v>2121</v>
      </c>
      <c r="D38" s="18" t="s">
        <v>2122</v>
      </c>
      <c r="E38" s="18" t="s">
        <v>2123</v>
      </c>
      <c r="F38" s="18" t="s">
        <v>2124</v>
      </c>
      <c r="G38" s="18" t="s">
        <v>2125</v>
      </c>
      <c r="H38" s="18" t="s">
        <v>2126</v>
      </c>
      <c r="I38" s="18" t="s">
        <v>1817</v>
      </c>
      <c r="J38" s="18" t="s">
        <v>1861</v>
      </c>
      <c r="K38" s="18" t="s">
        <v>20</v>
      </c>
    </row>
    <row r="39" customFormat="false" ht="23.85" hidden="false" customHeight="false" outlineLevel="0" collapsed="false">
      <c r="A39" s="18" t="s">
        <v>2127</v>
      </c>
      <c r="B39" s="18" t="s">
        <v>2128</v>
      </c>
      <c r="C39" s="18" t="s">
        <v>2129</v>
      </c>
      <c r="D39" s="18" t="s">
        <v>2122</v>
      </c>
      <c r="E39" s="18" t="s">
        <v>2130</v>
      </c>
      <c r="F39" s="18" t="s">
        <v>2131</v>
      </c>
      <c r="G39" s="18" t="s">
        <v>2132</v>
      </c>
      <c r="H39" s="18" t="s">
        <v>2133</v>
      </c>
      <c r="I39" s="18" t="s">
        <v>1817</v>
      </c>
      <c r="J39" s="18" t="s">
        <v>1861</v>
      </c>
      <c r="K39" s="18" t="s">
        <v>20</v>
      </c>
    </row>
    <row r="40" customFormat="false" ht="15" hidden="false" customHeight="false" outlineLevel="0" collapsed="false">
      <c r="A40" s="18" t="s">
        <v>2134</v>
      </c>
      <c r="B40" s="18" t="s">
        <v>2135</v>
      </c>
      <c r="C40" s="18" t="s">
        <v>2136</v>
      </c>
      <c r="D40" s="18" t="s">
        <v>2137</v>
      </c>
      <c r="E40" s="18" t="s">
        <v>2138</v>
      </c>
      <c r="F40" s="18" t="s">
        <v>2139</v>
      </c>
      <c r="G40" s="18" t="s">
        <v>2140</v>
      </c>
      <c r="H40" s="18" t="s">
        <v>2141</v>
      </c>
      <c r="I40" s="18" t="s">
        <v>1817</v>
      </c>
      <c r="J40" s="18" t="s">
        <v>1861</v>
      </c>
      <c r="K40" s="18" t="s">
        <v>22</v>
      </c>
    </row>
    <row r="41" customFormat="false" ht="15" hidden="false" customHeight="false" outlineLevel="0" collapsed="false">
      <c r="A41" s="18" t="s">
        <v>2142</v>
      </c>
      <c r="B41" s="18" t="s">
        <v>2143</v>
      </c>
      <c r="C41" s="18" t="s">
        <v>2144</v>
      </c>
      <c r="D41" s="18" t="s">
        <v>2145</v>
      </c>
      <c r="E41" s="18" t="s">
        <v>2146</v>
      </c>
      <c r="F41" s="18" t="s">
        <v>2147</v>
      </c>
      <c r="G41" s="18" t="s">
        <v>2148</v>
      </c>
      <c r="H41" s="18" t="s">
        <v>2149</v>
      </c>
      <c r="I41" s="18" t="s">
        <v>1817</v>
      </c>
      <c r="J41" s="18" t="s">
        <v>1861</v>
      </c>
      <c r="K41" s="18" t="s">
        <v>22</v>
      </c>
    </row>
    <row r="42" customFormat="false" ht="23.85" hidden="false" customHeight="false" outlineLevel="0" collapsed="false">
      <c r="A42" s="18" t="s">
        <v>2150</v>
      </c>
      <c r="B42" s="18" t="s">
        <v>2151</v>
      </c>
      <c r="C42" s="18" t="s">
        <v>2152</v>
      </c>
      <c r="D42" s="18" t="s">
        <v>1935</v>
      </c>
      <c r="E42" s="18" t="s">
        <v>2153</v>
      </c>
      <c r="F42" s="18" t="s">
        <v>2154</v>
      </c>
      <c r="G42" s="18" t="s">
        <v>2155</v>
      </c>
      <c r="H42" s="18" t="s">
        <v>2156</v>
      </c>
      <c r="I42" s="18" t="s">
        <v>1817</v>
      </c>
      <c r="J42" s="18" t="s">
        <v>2157</v>
      </c>
      <c r="K42" s="18" t="s">
        <v>20</v>
      </c>
    </row>
    <row r="43" customFormat="false" ht="15" hidden="false" customHeight="false" outlineLevel="0" collapsed="false">
      <c r="A43" s="18" t="s">
        <v>2158</v>
      </c>
      <c r="B43" s="18" t="s">
        <v>2159</v>
      </c>
      <c r="C43" s="18" t="s">
        <v>2160</v>
      </c>
      <c r="D43" s="18" t="s">
        <v>2161</v>
      </c>
      <c r="E43" s="18" t="s">
        <v>2162</v>
      </c>
      <c r="F43" s="18" t="s">
        <v>2163</v>
      </c>
      <c r="G43" s="18" t="s">
        <v>2164</v>
      </c>
      <c r="H43" s="18" t="s">
        <v>2165</v>
      </c>
      <c r="I43" s="18" t="s">
        <v>1817</v>
      </c>
      <c r="J43" s="18" t="s">
        <v>1861</v>
      </c>
      <c r="K43" s="18" t="s">
        <v>20</v>
      </c>
    </row>
    <row r="44" customFormat="false" ht="15" hidden="false" customHeight="false" outlineLevel="0" collapsed="false">
      <c r="A44" s="18" t="s">
        <v>2166</v>
      </c>
      <c r="B44" s="18" t="s">
        <v>2167</v>
      </c>
      <c r="C44" s="18" t="s">
        <v>2168</v>
      </c>
      <c r="D44" s="18" t="s">
        <v>2169</v>
      </c>
      <c r="E44" s="18" t="s">
        <v>2170</v>
      </c>
      <c r="F44" s="18" t="s">
        <v>2171</v>
      </c>
      <c r="G44" s="18" t="s">
        <v>2172</v>
      </c>
      <c r="H44" s="18" t="s">
        <v>2173</v>
      </c>
      <c r="I44" s="18" t="s">
        <v>1817</v>
      </c>
      <c r="J44" s="18" t="s">
        <v>1861</v>
      </c>
      <c r="K44" s="18" t="s">
        <v>20</v>
      </c>
    </row>
    <row r="45" customFormat="false" ht="23.85" hidden="false" customHeight="false" outlineLevel="0" collapsed="false">
      <c r="A45" s="18" t="s">
        <v>2174</v>
      </c>
      <c r="B45" s="18" t="s">
        <v>2175</v>
      </c>
      <c r="C45" s="18" t="s">
        <v>2176</v>
      </c>
      <c r="D45" s="18" t="s">
        <v>1856</v>
      </c>
      <c r="E45" s="18" t="s">
        <v>2177</v>
      </c>
      <c r="F45" s="18" t="s">
        <v>2178</v>
      </c>
      <c r="G45" s="18" t="s">
        <v>2179</v>
      </c>
      <c r="H45" s="18" t="s">
        <v>2180</v>
      </c>
      <c r="I45" s="18" t="s">
        <v>1817</v>
      </c>
      <c r="J45" s="18" t="s">
        <v>1861</v>
      </c>
      <c r="K45" s="18" t="s">
        <v>20</v>
      </c>
    </row>
    <row r="46" customFormat="false" ht="15" hidden="false" customHeight="false" outlineLevel="0" collapsed="false">
      <c r="A46" s="18" t="s">
        <v>2181</v>
      </c>
      <c r="B46" s="18" t="s">
        <v>2182</v>
      </c>
      <c r="C46" s="18" t="s">
        <v>2183</v>
      </c>
      <c r="D46" s="18" t="s">
        <v>1376</v>
      </c>
      <c r="E46" s="18" t="s">
        <v>2184</v>
      </c>
      <c r="F46" s="18" t="s">
        <v>2185</v>
      </c>
      <c r="G46" s="18" t="s">
        <v>2186</v>
      </c>
      <c r="H46" s="18" t="s">
        <v>2187</v>
      </c>
      <c r="I46" s="18" t="s">
        <v>1817</v>
      </c>
      <c r="J46" s="18" t="s">
        <v>1861</v>
      </c>
      <c r="K46" s="18" t="s">
        <v>20</v>
      </c>
    </row>
    <row r="47" customFormat="false" ht="15" hidden="false" customHeight="false" outlineLevel="0" collapsed="false">
      <c r="A47" s="18" t="s">
        <v>2188</v>
      </c>
      <c r="B47" s="18" t="s">
        <v>2189</v>
      </c>
      <c r="C47" s="18" t="s">
        <v>2190</v>
      </c>
      <c r="D47" s="18" t="s">
        <v>2191</v>
      </c>
      <c r="E47" s="18" t="s">
        <v>2192</v>
      </c>
      <c r="F47" s="18" t="s">
        <v>2193</v>
      </c>
      <c r="G47" s="18" t="s">
        <v>2194</v>
      </c>
      <c r="H47" s="18" t="s">
        <v>2195</v>
      </c>
      <c r="I47" s="18" t="s">
        <v>1817</v>
      </c>
      <c r="J47" s="18" t="s">
        <v>1861</v>
      </c>
      <c r="K47" s="18" t="s">
        <v>20</v>
      </c>
    </row>
    <row r="48" customFormat="false" ht="15" hidden="false" customHeight="false" outlineLevel="0" collapsed="false">
      <c r="A48" s="18" t="s">
        <v>2196</v>
      </c>
      <c r="B48" s="18" t="s">
        <v>2197</v>
      </c>
      <c r="C48" s="18" t="s">
        <v>2198</v>
      </c>
      <c r="D48" s="18" t="s">
        <v>1847</v>
      </c>
      <c r="E48" s="18" t="s">
        <v>2199</v>
      </c>
      <c r="F48" s="18" t="s">
        <v>2200</v>
      </c>
      <c r="G48" s="18" t="s">
        <v>2201</v>
      </c>
      <c r="H48" s="18" t="s">
        <v>2202</v>
      </c>
      <c r="I48" s="18" t="s">
        <v>1817</v>
      </c>
      <c r="J48" s="18" t="s">
        <v>1861</v>
      </c>
      <c r="K48" s="18" t="s">
        <v>20</v>
      </c>
    </row>
  </sheetData>
  <autoFilter ref="A4:K48"/>
  <conditionalFormatting sqref="K5:K48">
    <cfRule type="cellIs" priority="2" operator="equal" aboveAverage="0" equalAverage="0" bottom="0" percent="0" rank="0" text="" dxfId="10">
      <formula>"Verified"</formula>
    </cfRule>
    <cfRule type="cellIs" priority="3" operator="equal" aboveAverage="0" equalAverage="0" bottom="0" percent="0" rank="0" text="" dxfId="11">
      <formula>"Conditionally verified"</formula>
    </cfRule>
    <cfRule type="cellIs" priority="4" operator="equal" aboveAverage="0" equalAverage="0" bottom="0" percent="0" rank="0" text="" dxfId="12">
      <formula>"Incorrect"</formula>
    </cfRule>
    <cfRule type="cellIs" priority="5" operator="equal" aboveAverage="0" equalAverage="0" bottom="0" percent="0" rank="0" text="" dxfId="13">
      <formula>"Unverified"</formula>
    </cfRule>
    <cfRule type="cellIs" priority="6" operator="equal" aboveAverage="0" equalAverage="0" bottom="0" percent="0" rank="0" text="" dxfId="14">
      <formula>"Not applicable (gap list)"</formula>
    </cfRule>
  </conditionalFormatting>
  <dataValidations count="1">
    <dataValidation allowBlank="true" errorStyle="stop" operator="between" showDropDown="false" showErrorMessage="false" showInputMessage="false" sqref="K5:K48" type="list">
      <formula1>"Verified,Conditionally verified,Incorrect,Unverified"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36"/>
    <col collapsed="false" customWidth="true" hidden="false" outlineLevel="0" max="10" min="10" style="0" width="40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2203</v>
      </c>
    </row>
    <row r="2" customFormat="false" ht="15" hidden="false" customHeight="false" outlineLevel="0" collapsed="false">
      <c r="A2" s="16" t="s">
        <v>2204</v>
      </c>
    </row>
    <row r="4" customFormat="false" ht="42" hidden="false" customHeight="true" outlineLevel="0" collapsed="false">
      <c r="A4" s="17" t="s">
        <v>1089</v>
      </c>
      <c r="B4" s="17" t="s">
        <v>2205</v>
      </c>
      <c r="C4" s="17" t="s">
        <v>2206</v>
      </c>
      <c r="D4" s="17" t="s">
        <v>2207</v>
      </c>
      <c r="E4" s="17" t="s">
        <v>2208</v>
      </c>
      <c r="F4" s="17" t="s">
        <v>2209</v>
      </c>
      <c r="G4" s="17" t="s">
        <v>2210</v>
      </c>
      <c r="H4" s="17" t="s">
        <v>2211</v>
      </c>
      <c r="I4" s="17" t="s">
        <v>2212</v>
      </c>
      <c r="J4" s="17" t="s">
        <v>2213</v>
      </c>
      <c r="K4" s="17" t="s">
        <v>2214</v>
      </c>
      <c r="L4" s="17" t="s">
        <v>781</v>
      </c>
      <c r="M4" s="17" t="s">
        <v>2215</v>
      </c>
    </row>
    <row r="5" customFormat="false" ht="35.05" hidden="false" customHeight="false" outlineLevel="0" collapsed="false">
      <c r="A5" s="18" t="s">
        <v>2216</v>
      </c>
      <c r="B5" s="18" t="s">
        <v>2023</v>
      </c>
      <c r="C5" s="18" t="s">
        <v>2023</v>
      </c>
      <c r="D5" s="18" t="s">
        <v>2217</v>
      </c>
      <c r="E5" s="18" t="s">
        <v>2218</v>
      </c>
      <c r="F5" s="18" t="s">
        <v>2219</v>
      </c>
      <c r="G5" s="18" t="s">
        <v>2220</v>
      </c>
      <c r="H5" s="18" t="s">
        <v>2221</v>
      </c>
      <c r="I5" s="18" t="s">
        <v>2222</v>
      </c>
      <c r="J5" s="18" t="s">
        <v>2223</v>
      </c>
      <c r="K5" s="42" t="s">
        <v>2224</v>
      </c>
      <c r="L5" s="18" t="s">
        <v>20</v>
      </c>
      <c r="M5" s="18" t="s">
        <v>2225</v>
      </c>
    </row>
    <row r="6" customFormat="false" ht="35.05" hidden="false" customHeight="false" outlineLevel="0" collapsed="false">
      <c r="A6" s="18" t="s">
        <v>2226</v>
      </c>
      <c r="B6" s="18" t="s">
        <v>2227</v>
      </c>
      <c r="C6" s="18" t="s">
        <v>2228</v>
      </c>
      <c r="D6" s="18" t="s">
        <v>2229</v>
      </c>
      <c r="E6" s="18" t="s">
        <v>2218</v>
      </c>
      <c r="F6" s="18" t="s">
        <v>2230</v>
      </c>
      <c r="G6" s="18" t="s">
        <v>2231</v>
      </c>
      <c r="H6" s="18" t="s">
        <v>2232</v>
      </c>
      <c r="I6" s="18" t="s">
        <v>2233</v>
      </c>
      <c r="J6" s="18" t="s">
        <v>2234</v>
      </c>
      <c r="K6" s="42" t="s">
        <v>2224</v>
      </c>
      <c r="L6" s="18" t="s">
        <v>20</v>
      </c>
      <c r="M6" s="18" t="s">
        <v>2235</v>
      </c>
    </row>
    <row r="7" customFormat="false" ht="23.85" hidden="false" customHeight="false" outlineLevel="0" collapsed="false">
      <c r="A7" s="18" t="s">
        <v>2236</v>
      </c>
      <c r="B7" s="18" t="s">
        <v>2041</v>
      </c>
      <c r="C7" s="18" t="s">
        <v>2041</v>
      </c>
      <c r="D7" s="18" t="s">
        <v>2237</v>
      </c>
      <c r="E7" s="18" t="s">
        <v>2218</v>
      </c>
      <c r="F7" s="18" t="s">
        <v>2230</v>
      </c>
      <c r="G7" s="18" t="s">
        <v>2220</v>
      </c>
      <c r="H7" s="18" t="s">
        <v>2232</v>
      </c>
      <c r="I7" s="18" t="s">
        <v>2238</v>
      </c>
      <c r="J7" s="18" t="s">
        <v>2239</v>
      </c>
      <c r="K7" s="42" t="s">
        <v>2224</v>
      </c>
      <c r="L7" s="18" t="s">
        <v>20</v>
      </c>
      <c r="M7" s="18" t="s">
        <v>2235</v>
      </c>
    </row>
    <row r="8" customFormat="false" ht="35.05" hidden="false" customHeight="false" outlineLevel="0" collapsed="false">
      <c r="A8" s="18" t="s">
        <v>2240</v>
      </c>
      <c r="B8" s="18" t="s">
        <v>2241</v>
      </c>
      <c r="C8" s="18" t="s">
        <v>2242</v>
      </c>
      <c r="D8" s="18" t="s">
        <v>2243</v>
      </c>
      <c r="E8" s="18" t="s">
        <v>2218</v>
      </c>
      <c r="F8" s="18" t="s">
        <v>2230</v>
      </c>
      <c r="G8" s="18" t="s">
        <v>2244</v>
      </c>
      <c r="H8" s="18" t="s">
        <v>2232</v>
      </c>
      <c r="I8" s="18" t="s">
        <v>2245</v>
      </c>
      <c r="J8" s="18" t="s">
        <v>2246</v>
      </c>
      <c r="K8" s="42" t="s">
        <v>2224</v>
      </c>
      <c r="L8" s="18" t="s">
        <v>22</v>
      </c>
      <c r="M8" s="18" t="s">
        <v>2247</v>
      </c>
    </row>
    <row r="9" customFormat="false" ht="23.85" hidden="false" customHeight="false" outlineLevel="0" collapsed="false">
      <c r="A9" s="18" t="s">
        <v>2248</v>
      </c>
      <c r="B9" s="18" t="s">
        <v>2067</v>
      </c>
      <c r="C9" s="18" t="s">
        <v>2067</v>
      </c>
      <c r="D9" s="18" t="s">
        <v>2249</v>
      </c>
      <c r="E9" s="18" t="s">
        <v>2218</v>
      </c>
      <c r="F9" s="18" t="s">
        <v>2230</v>
      </c>
      <c r="G9" s="18" t="s">
        <v>2220</v>
      </c>
      <c r="H9" s="18" t="s">
        <v>2232</v>
      </c>
      <c r="I9" s="18" t="s">
        <v>2250</v>
      </c>
      <c r="J9" s="18" t="s">
        <v>1817</v>
      </c>
      <c r="K9" s="42" t="s">
        <v>2224</v>
      </c>
      <c r="L9" s="18" t="s">
        <v>20</v>
      </c>
      <c r="M9" s="18" t="s">
        <v>2235</v>
      </c>
    </row>
    <row r="10" customFormat="false" ht="23.85" hidden="false" customHeight="false" outlineLevel="0" collapsed="false">
      <c r="A10" s="18" t="s">
        <v>2251</v>
      </c>
      <c r="B10" s="18" t="s">
        <v>2252</v>
      </c>
      <c r="C10" s="18" t="s">
        <v>2252</v>
      </c>
      <c r="D10" s="18" t="s">
        <v>2253</v>
      </c>
      <c r="E10" s="18" t="s">
        <v>2218</v>
      </c>
      <c r="F10" s="18" t="s">
        <v>2254</v>
      </c>
      <c r="G10" s="18" t="s">
        <v>2220</v>
      </c>
      <c r="H10" s="18" t="s">
        <v>2255</v>
      </c>
      <c r="I10" s="18" t="s">
        <v>2256</v>
      </c>
      <c r="J10" s="18" t="s">
        <v>2257</v>
      </c>
      <c r="K10" s="42" t="s">
        <v>2224</v>
      </c>
      <c r="L10" s="18" t="s">
        <v>20</v>
      </c>
      <c r="M10" s="18" t="s">
        <v>2258</v>
      </c>
    </row>
    <row r="11" customFormat="false" ht="23.85" hidden="false" customHeight="false" outlineLevel="0" collapsed="false">
      <c r="A11" s="18" t="s">
        <v>2259</v>
      </c>
      <c r="B11" s="18" t="s">
        <v>1842</v>
      </c>
      <c r="C11" s="18" t="s">
        <v>1842</v>
      </c>
      <c r="D11" s="18" t="s">
        <v>2260</v>
      </c>
      <c r="E11" s="18" t="s">
        <v>2261</v>
      </c>
      <c r="F11" s="18" t="s">
        <v>2262</v>
      </c>
      <c r="G11" s="18" t="s">
        <v>2220</v>
      </c>
      <c r="H11" s="18" t="s">
        <v>2263</v>
      </c>
      <c r="I11" s="18" t="s">
        <v>2264</v>
      </c>
      <c r="J11" s="18" t="s">
        <v>2265</v>
      </c>
      <c r="K11" s="42" t="s">
        <v>2266</v>
      </c>
      <c r="L11" s="18" t="s">
        <v>20</v>
      </c>
      <c r="M11" s="18" t="s">
        <v>2267</v>
      </c>
    </row>
    <row r="12" customFormat="false" ht="23.85" hidden="false" customHeight="false" outlineLevel="0" collapsed="false">
      <c r="A12" s="18" t="s">
        <v>2268</v>
      </c>
      <c r="B12" s="18" t="s">
        <v>1869</v>
      </c>
      <c r="C12" s="18" t="s">
        <v>1869</v>
      </c>
      <c r="D12" s="18" t="s">
        <v>2269</v>
      </c>
      <c r="E12" s="18" t="s">
        <v>2261</v>
      </c>
      <c r="F12" s="18" t="s">
        <v>2262</v>
      </c>
      <c r="G12" s="18" t="s">
        <v>2220</v>
      </c>
      <c r="H12" s="18" t="s">
        <v>2270</v>
      </c>
      <c r="I12" s="18" t="s">
        <v>2271</v>
      </c>
      <c r="J12" s="18" t="s">
        <v>1817</v>
      </c>
      <c r="K12" s="42" t="s">
        <v>2266</v>
      </c>
      <c r="L12" s="18" t="s">
        <v>20</v>
      </c>
      <c r="M12" s="18" t="s">
        <v>2267</v>
      </c>
    </row>
    <row r="13" customFormat="false" ht="23.85" hidden="false" customHeight="false" outlineLevel="0" collapsed="false">
      <c r="A13" s="18" t="s">
        <v>2272</v>
      </c>
      <c r="B13" s="18" t="s">
        <v>1879</v>
      </c>
      <c r="C13" s="18" t="s">
        <v>1879</v>
      </c>
      <c r="D13" s="18" t="s">
        <v>2273</v>
      </c>
      <c r="E13" s="18" t="s">
        <v>2261</v>
      </c>
      <c r="F13" s="18" t="s">
        <v>2262</v>
      </c>
      <c r="G13" s="18" t="s">
        <v>2220</v>
      </c>
      <c r="H13" s="18" t="s">
        <v>2274</v>
      </c>
      <c r="I13" s="18" t="s">
        <v>2275</v>
      </c>
      <c r="J13" s="18" t="s">
        <v>1817</v>
      </c>
      <c r="K13" s="42" t="s">
        <v>2266</v>
      </c>
      <c r="L13" s="18" t="s">
        <v>20</v>
      </c>
      <c r="M13" s="18" t="s">
        <v>2267</v>
      </c>
    </row>
    <row r="14" customFormat="false" ht="23.85" hidden="false" customHeight="false" outlineLevel="0" collapsed="false">
      <c r="A14" s="18" t="s">
        <v>2276</v>
      </c>
      <c r="B14" s="18" t="s">
        <v>1905</v>
      </c>
      <c r="C14" s="18" t="s">
        <v>1905</v>
      </c>
      <c r="D14" s="18" t="s">
        <v>2277</v>
      </c>
      <c r="E14" s="18" t="s">
        <v>2261</v>
      </c>
      <c r="F14" s="18" t="s">
        <v>2262</v>
      </c>
      <c r="G14" s="18" t="s">
        <v>2220</v>
      </c>
      <c r="H14" s="18" t="s">
        <v>2278</v>
      </c>
      <c r="I14" s="18" t="s">
        <v>2279</v>
      </c>
      <c r="J14" s="18" t="s">
        <v>1817</v>
      </c>
      <c r="K14" s="42" t="s">
        <v>2266</v>
      </c>
      <c r="L14" s="18" t="s">
        <v>20</v>
      </c>
      <c r="M14" s="18" t="s">
        <v>2267</v>
      </c>
    </row>
    <row r="15" customFormat="false" ht="23.85" hidden="false" customHeight="false" outlineLevel="0" collapsed="false">
      <c r="A15" s="18" t="s">
        <v>2280</v>
      </c>
      <c r="B15" s="18" t="s">
        <v>115</v>
      </c>
      <c r="C15" s="18" t="s">
        <v>2281</v>
      </c>
      <c r="D15" s="18" t="s">
        <v>2282</v>
      </c>
      <c r="E15" s="18" t="s">
        <v>2261</v>
      </c>
      <c r="F15" s="18" t="s">
        <v>2283</v>
      </c>
      <c r="G15" s="18" t="s">
        <v>2220</v>
      </c>
      <c r="H15" s="18" t="s">
        <v>2284</v>
      </c>
      <c r="I15" s="18" t="s">
        <v>2285</v>
      </c>
      <c r="J15" s="18" t="s">
        <v>2286</v>
      </c>
      <c r="K15" s="42" t="s">
        <v>2266</v>
      </c>
      <c r="L15" s="18" t="s">
        <v>20</v>
      </c>
      <c r="M15" s="18" t="s">
        <v>2287</v>
      </c>
    </row>
    <row r="16" customFormat="false" ht="23.85" hidden="false" customHeight="false" outlineLevel="0" collapsed="false">
      <c r="A16" s="18" t="s">
        <v>2288</v>
      </c>
      <c r="B16" s="18" t="s">
        <v>303</v>
      </c>
      <c r="C16" s="18" t="s">
        <v>2289</v>
      </c>
      <c r="D16" s="18" t="s">
        <v>2290</v>
      </c>
      <c r="E16" s="18" t="s">
        <v>2261</v>
      </c>
      <c r="F16" s="18" t="s">
        <v>2283</v>
      </c>
      <c r="G16" s="18" t="s">
        <v>2220</v>
      </c>
      <c r="H16" s="18" t="s">
        <v>2291</v>
      </c>
      <c r="I16" s="18" t="s">
        <v>2292</v>
      </c>
      <c r="J16" s="18" t="s">
        <v>2293</v>
      </c>
      <c r="K16" s="42" t="s">
        <v>2266</v>
      </c>
      <c r="L16" s="18" t="s">
        <v>20</v>
      </c>
      <c r="M16" s="18" t="s">
        <v>2267</v>
      </c>
    </row>
    <row r="17" customFormat="false" ht="35.05" hidden="false" customHeight="false" outlineLevel="0" collapsed="false">
      <c r="A17" s="18" t="s">
        <v>2294</v>
      </c>
      <c r="B17" s="18" t="s">
        <v>2295</v>
      </c>
      <c r="C17" s="18" t="s">
        <v>2296</v>
      </c>
      <c r="D17" s="18" t="s">
        <v>2297</v>
      </c>
      <c r="E17" s="18" t="s">
        <v>2261</v>
      </c>
      <c r="F17" s="18" t="s">
        <v>2283</v>
      </c>
      <c r="G17" s="18" t="s">
        <v>2298</v>
      </c>
      <c r="H17" s="18" t="s">
        <v>2299</v>
      </c>
      <c r="I17" s="18" t="s">
        <v>2300</v>
      </c>
      <c r="J17" s="18" t="s">
        <v>2301</v>
      </c>
      <c r="K17" s="42" t="s">
        <v>2266</v>
      </c>
      <c r="L17" s="18" t="s">
        <v>22</v>
      </c>
      <c r="M17" s="18" t="s">
        <v>2302</v>
      </c>
    </row>
    <row r="18" customFormat="false" ht="23.85" hidden="false" customHeight="false" outlineLevel="0" collapsed="false">
      <c r="A18" s="18" t="s">
        <v>2303</v>
      </c>
      <c r="B18" s="18" t="s">
        <v>2304</v>
      </c>
      <c r="C18" s="18" t="s">
        <v>2305</v>
      </c>
      <c r="D18" s="18" t="s">
        <v>2306</v>
      </c>
      <c r="E18" s="18" t="s">
        <v>2261</v>
      </c>
      <c r="F18" s="18" t="s">
        <v>2283</v>
      </c>
      <c r="G18" s="18" t="s">
        <v>2220</v>
      </c>
      <c r="H18" s="18" t="s">
        <v>2307</v>
      </c>
      <c r="I18" s="18" t="s">
        <v>2308</v>
      </c>
      <c r="J18" s="18" t="s">
        <v>2309</v>
      </c>
      <c r="K18" s="42" t="s">
        <v>2266</v>
      </c>
      <c r="L18" s="18" t="s">
        <v>20</v>
      </c>
      <c r="M18" s="18" t="s">
        <v>2267</v>
      </c>
    </row>
    <row r="19" customFormat="false" ht="23.85" hidden="false" customHeight="false" outlineLevel="0" collapsed="false">
      <c r="A19" s="18" t="s">
        <v>2310</v>
      </c>
      <c r="B19" s="18" t="s">
        <v>1840</v>
      </c>
      <c r="C19" s="18" t="s">
        <v>1840</v>
      </c>
      <c r="D19" s="18" t="s">
        <v>2311</v>
      </c>
      <c r="E19" s="18" t="s">
        <v>2218</v>
      </c>
      <c r="F19" s="18" t="s">
        <v>2262</v>
      </c>
      <c r="G19" s="18" t="s">
        <v>2220</v>
      </c>
      <c r="H19" s="18" t="s">
        <v>2312</v>
      </c>
      <c r="I19" s="18" t="s">
        <v>2313</v>
      </c>
      <c r="J19" s="18" t="s">
        <v>1817</v>
      </c>
      <c r="K19" s="42" t="s">
        <v>2224</v>
      </c>
      <c r="L19" s="18" t="s">
        <v>20</v>
      </c>
      <c r="M19" s="18" t="s">
        <v>2314</v>
      </c>
    </row>
    <row r="20" customFormat="false" ht="23.85" hidden="false" customHeight="false" outlineLevel="0" collapsed="false">
      <c r="A20" s="18" t="s">
        <v>2315</v>
      </c>
      <c r="B20" s="18" t="s">
        <v>1867</v>
      </c>
      <c r="C20" s="18" t="s">
        <v>1867</v>
      </c>
      <c r="D20" s="18" t="s">
        <v>2316</v>
      </c>
      <c r="E20" s="18" t="s">
        <v>2218</v>
      </c>
      <c r="F20" s="18" t="s">
        <v>2262</v>
      </c>
      <c r="G20" s="18" t="s">
        <v>2220</v>
      </c>
      <c r="H20" s="18" t="s">
        <v>2232</v>
      </c>
      <c r="I20" s="18" t="s">
        <v>1778</v>
      </c>
      <c r="J20" s="18" t="s">
        <v>1817</v>
      </c>
      <c r="K20" s="42" t="s">
        <v>2224</v>
      </c>
      <c r="L20" s="18" t="s">
        <v>20</v>
      </c>
      <c r="M20" s="18"/>
    </row>
    <row r="21" customFormat="false" ht="23.85" hidden="false" customHeight="false" outlineLevel="0" collapsed="false">
      <c r="A21" s="18" t="s">
        <v>2317</v>
      </c>
      <c r="B21" s="18" t="s">
        <v>1877</v>
      </c>
      <c r="C21" s="18" t="s">
        <v>1877</v>
      </c>
      <c r="D21" s="18" t="s">
        <v>2318</v>
      </c>
      <c r="E21" s="18" t="s">
        <v>2218</v>
      </c>
      <c r="F21" s="18" t="s">
        <v>2262</v>
      </c>
      <c r="G21" s="18" t="s">
        <v>2220</v>
      </c>
      <c r="H21" s="18" t="s">
        <v>2232</v>
      </c>
      <c r="I21" s="18" t="s">
        <v>1872</v>
      </c>
      <c r="J21" s="18" t="s">
        <v>1817</v>
      </c>
      <c r="K21" s="42" t="s">
        <v>2224</v>
      </c>
      <c r="L21" s="18" t="s">
        <v>20</v>
      </c>
      <c r="M21" s="18"/>
    </row>
    <row r="22" customFormat="false" ht="23.85" hidden="false" customHeight="false" outlineLevel="0" collapsed="false">
      <c r="A22" s="18" t="s">
        <v>2319</v>
      </c>
      <c r="B22" s="18" t="s">
        <v>1903</v>
      </c>
      <c r="C22" s="18" t="s">
        <v>1903</v>
      </c>
      <c r="D22" s="18" t="s">
        <v>2320</v>
      </c>
      <c r="E22" s="18" t="s">
        <v>2218</v>
      </c>
      <c r="F22" s="18" t="s">
        <v>2262</v>
      </c>
      <c r="G22" s="18" t="s">
        <v>2220</v>
      </c>
      <c r="H22" s="18" t="s">
        <v>2232</v>
      </c>
      <c r="I22" s="18" t="s">
        <v>2321</v>
      </c>
      <c r="J22" s="18" t="s">
        <v>1817</v>
      </c>
      <c r="K22" s="42" t="s">
        <v>2224</v>
      </c>
      <c r="L22" s="18" t="s">
        <v>20</v>
      </c>
      <c r="M22" s="18"/>
    </row>
    <row r="23" customFormat="false" ht="23.85" hidden="false" customHeight="false" outlineLevel="0" collapsed="false">
      <c r="A23" s="18" t="s">
        <v>2322</v>
      </c>
      <c r="B23" s="18" t="s">
        <v>1971</v>
      </c>
      <c r="C23" s="18" t="s">
        <v>1971</v>
      </c>
      <c r="D23" s="18" t="s">
        <v>2323</v>
      </c>
      <c r="E23" s="18" t="s">
        <v>2218</v>
      </c>
      <c r="F23" s="18" t="s">
        <v>2262</v>
      </c>
      <c r="G23" s="18" t="s">
        <v>2220</v>
      </c>
      <c r="H23" s="18" t="s">
        <v>2232</v>
      </c>
      <c r="I23" s="18" t="s">
        <v>2324</v>
      </c>
      <c r="J23" s="18" t="s">
        <v>1817</v>
      </c>
      <c r="K23" s="42" t="s">
        <v>2224</v>
      </c>
      <c r="L23" s="18" t="s">
        <v>20</v>
      </c>
      <c r="M23" s="18" t="s">
        <v>2325</v>
      </c>
    </row>
    <row r="24" customFormat="false" ht="23.85" hidden="false" customHeight="false" outlineLevel="0" collapsed="false">
      <c r="A24" s="18" t="s">
        <v>2326</v>
      </c>
      <c r="B24" s="18" t="s">
        <v>1980</v>
      </c>
      <c r="C24" s="18" t="s">
        <v>1980</v>
      </c>
      <c r="D24" s="18" t="s">
        <v>2327</v>
      </c>
      <c r="E24" s="18" t="s">
        <v>2218</v>
      </c>
      <c r="F24" s="18" t="s">
        <v>2262</v>
      </c>
      <c r="G24" s="18" t="s">
        <v>2220</v>
      </c>
      <c r="H24" s="18" t="s">
        <v>2232</v>
      </c>
      <c r="I24" s="18" t="s">
        <v>1975</v>
      </c>
      <c r="J24" s="18" t="s">
        <v>1817</v>
      </c>
      <c r="K24" s="42" t="s">
        <v>2224</v>
      </c>
      <c r="L24" s="18" t="s">
        <v>20</v>
      </c>
      <c r="M24" s="18"/>
    </row>
    <row r="25" customFormat="false" ht="35.05" hidden="false" customHeight="false" outlineLevel="0" collapsed="false">
      <c r="A25" s="18" t="s">
        <v>2328</v>
      </c>
      <c r="B25" s="18" t="s">
        <v>215</v>
      </c>
      <c r="C25" s="18" t="s">
        <v>215</v>
      </c>
      <c r="D25" s="18" t="s">
        <v>2329</v>
      </c>
      <c r="E25" s="18" t="s">
        <v>2218</v>
      </c>
      <c r="F25" s="18" t="s">
        <v>2283</v>
      </c>
      <c r="G25" s="18" t="s">
        <v>2220</v>
      </c>
      <c r="H25" s="18" t="s">
        <v>2232</v>
      </c>
      <c r="I25" s="18" t="s">
        <v>2330</v>
      </c>
      <c r="J25" s="18" t="s">
        <v>1817</v>
      </c>
      <c r="K25" s="42" t="s">
        <v>2224</v>
      </c>
      <c r="L25" s="18" t="s">
        <v>20</v>
      </c>
      <c r="M25" s="18" t="s">
        <v>2331</v>
      </c>
    </row>
    <row r="26" customFormat="false" ht="23.85" hidden="false" customHeight="false" outlineLevel="0" collapsed="false">
      <c r="A26" s="18" t="s">
        <v>2332</v>
      </c>
      <c r="B26" s="18" t="s">
        <v>2005</v>
      </c>
      <c r="C26" s="18" t="s">
        <v>2005</v>
      </c>
      <c r="D26" s="18" t="s">
        <v>2333</v>
      </c>
      <c r="E26" s="18" t="s">
        <v>2218</v>
      </c>
      <c r="F26" s="18" t="s">
        <v>2230</v>
      </c>
      <c r="G26" s="18" t="s">
        <v>2220</v>
      </c>
      <c r="H26" s="18" t="s">
        <v>2232</v>
      </c>
      <c r="I26" s="18" t="s">
        <v>2334</v>
      </c>
      <c r="J26" s="18" t="s">
        <v>1817</v>
      </c>
      <c r="K26" s="42" t="s">
        <v>2224</v>
      </c>
      <c r="L26" s="18" t="s">
        <v>20</v>
      </c>
      <c r="M26" s="18"/>
    </row>
    <row r="27" customFormat="false" ht="23.85" hidden="false" customHeight="false" outlineLevel="0" collapsed="false">
      <c r="A27" s="18" t="s">
        <v>2335</v>
      </c>
      <c r="B27" s="18" t="s">
        <v>89</v>
      </c>
      <c r="C27" s="18" t="s">
        <v>89</v>
      </c>
      <c r="D27" s="18" t="s">
        <v>2336</v>
      </c>
      <c r="E27" s="18" t="s">
        <v>2218</v>
      </c>
      <c r="F27" s="18" t="s">
        <v>2337</v>
      </c>
      <c r="G27" s="18" t="s">
        <v>2220</v>
      </c>
      <c r="H27" s="18" t="s">
        <v>2232</v>
      </c>
      <c r="I27" s="18" t="s">
        <v>2338</v>
      </c>
      <c r="J27" s="18" t="s">
        <v>1817</v>
      </c>
      <c r="K27" s="42" t="s">
        <v>2224</v>
      </c>
      <c r="L27" s="18" t="s">
        <v>20</v>
      </c>
      <c r="M27" s="18"/>
    </row>
    <row r="28" customFormat="false" ht="23.85" hidden="false" customHeight="false" outlineLevel="0" collapsed="false">
      <c r="A28" s="18" t="s">
        <v>2339</v>
      </c>
      <c r="B28" s="18" t="s">
        <v>1850</v>
      </c>
      <c r="C28" s="18" t="s">
        <v>1850</v>
      </c>
      <c r="D28" s="18" t="s">
        <v>2340</v>
      </c>
      <c r="E28" s="18" t="s">
        <v>2218</v>
      </c>
      <c r="F28" s="18" t="s">
        <v>2262</v>
      </c>
      <c r="G28" s="18" t="s">
        <v>2220</v>
      </c>
      <c r="H28" s="18" t="s">
        <v>2232</v>
      </c>
      <c r="I28" s="18" t="s">
        <v>2341</v>
      </c>
      <c r="J28" s="18" t="s">
        <v>1817</v>
      </c>
      <c r="K28" s="42" t="s">
        <v>2224</v>
      </c>
      <c r="L28" s="18" t="s">
        <v>20</v>
      </c>
      <c r="M28" s="18"/>
    </row>
    <row r="29" customFormat="false" ht="23.85" hidden="false" customHeight="false" outlineLevel="0" collapsed="false">
      <c r="A29" s="18" t="s">
        <v>2342</v>
      </c>
      <c r="B29" s="18" t="s">
        <v>2164</v>
      </c>
      <c r="C29" s="18" t="s">
        <v>2164</v>
      </c>
      <c r="D29" s="18" t="s">
        <v>2343</v>
      </c>
      <c r="E29" s="18" t="s">
        <v>2218</v>
      </c>
      <c r="F29" s="18" t="s">
        <v>2262</v>
      </c>
      <c r="G29" s="18" t="s">
        <v>2220</v>
      </c>
      <c r="H29" s="18" t="s">
        <v>2232</v>
      </c>
      <c r="I29" s="18" t="s">
        <v>2344</v>
      </c>
      <c r="J29" s="18" t="s">
        <v>1817</v>
      </c>
      <c r="K29" s="42" t="s">
        <v>2224</v>
      </c>
      <c r="L29" s="18" t="s">
        <v>20</v>
      </c>
      <c r="M29" s="18"/>
    </row>
    <row r="30" customFormat="false" ht="23.85" hidden="false" customHeight="false" outlineLevel="0" collapsed="false">
      <c r="A30" s="18" t="s">
        <v>2345</v>
      </c>
      <c r="B30" s="18" t="s">
        <v>2346</v>
      </c>
      <c r="C30" s="18" t="s">
        <v>2346</v>
      </c>
      <c r="D30" s="18" t="s">
        <v>2347</v>
      </c>
      <c r="E30" s="18" t="s">
        <v>2218</v>
      </c>
      <c r="F30" s="18" t="s">
        <v>2262</v>
      </c>
      <c r="G30" s="18" t="s">
        <v>2220</v>
      </c>
      <c r="H30" s="18" t="s">
        <v>2232</v>
      </c>
      <c r="I30" s="18" t="s">
        <v>2348</v>
      </c>
      <c r="J30" s="18" t="s">
        <v>1817</v>
      </c>
      <c r="K30" s="42" t="s">
        <v>2224</v>
      </c>
      <c r="L30" s="18" t="s">
        <v>20</v>
      </c>
      <c r="M30" s="18"/>
    </row>
    <row r="31" customFormat="false" ht="23.85" hidden="false" customHeight="false" outlineLevel="0" collapsed="false">
      <c r="A31" s="18" t="s">
        <v>2349</v>
      </c>
      <c r="B31" s="18" t="s">
        <v>1841</v>
      </c>
      <c r="C31" s="18" t="s">
        <v>1841</v>
      </c>
      <c r="D31" s="18" t="s">
        <v>2350</v>
      </c>
      <c r="E31" s="18" t="s">
        <v>2351</v>
      </c>
      <c r="F31" s="18" t="s">
        <v>2262</v>
      </c>
      <c r="G31" s="18" t="s">
        <v>2220</v>
      </c>
      <c r="H31" s="18" t="s">
        <v>2232</v>
      </c>
      <c r="I31" s="18" t="s">
        <v>2352</v>
      </c>
      <c r="J31" s="18" t="s">
        <v>1817</v>
      </c>
      <c r="K31" s="42" t="s">
        <v>2353</v>
      </c>
      <c r="L31" s="18" t="s">
        <v>20</v>
      </c>
      <c r="M31" s="18"/>
    </row>
  </sheetData>
  <autoFilter ref="A4:M31"/>
  <conditionalFormatting sqref="L5:L31">
    <cfRule type="cellIs" priority="2" operator="equal" aboveAverage="0" equalAverage="0" bottom="0" percent="0" rank="0" text="" dxfId="10">
      <formula>"Verified"</formula>
    </cfRule>
    <cfRule type="cellIs" priority="3" operator="equal" aboveAverage="0" equalAverage="0" bottom="0" percent="0" rank="0" text="" dxfId="11">
      <formula>"Conditionally verified"</formula>
    </cfRule>
    <cfRule type="cellIs" priority="4" operator="equal" aboveAverage="0" equalAverage="0" bottom="0" percent="0" rank="0" text="" dxfId="12">
      <formula>"Incorrect"</formula>
    </cfRule>
    <cfRule type="cellIs" priority="5" operator="equal" aboveAverage="0" equalAverage="0" bottom="0" percent="0" rank="0" text="" dxfId="13">
      <formula>"Unverified"</formula>
    </cfRule>
    <cfRule type="cellIs" priority="6" operator="equal" aboveAverage="0" equalAverage="0" bottom="0" percent="0" rank="0" text="" dxfId="14">
      <formula>"Not applicable (gap list)"</formula>
    </cfRule>
  </conditionalFormatting>
  <dataValidations count="1">
    <dataValidation allowBlank="true" errorStyle="stop" operator="between" showDropDown="false" showErrorMessage="false" showInputMessage="false" sqref="L5:L31" type="list">
      <formula1>"Verified,Conditionally verified,Incorrect,Unverified"</formula1>
      <formula2>0</formula2>
    </dataValidation>
  </dataValidations>
  <hyperlinks>
    <hyperlink ref="K5" r:id="rId1" display="https://www.astm.org/"/>
    <hyperlink ref="K6" r:id="rId2" display="https://www.astm.org/"/>
    <hyperlink ref="K7" r:id="rId3" display="https://www.astm.org/"/>
    <hyperlink ref="K8" r:id="rId4" display="https://www.astm.org/"/>
    <hyperlink ref="K9" r:id="rId5" display="https://www.astm.org/"/>
    <hyperlink ref="K10" r:id="rId6" display="https://www.astm.org/"/>
    <hyperlink ref="K11" r:id="rId7" display="https://www.bis.gov.in/"/>
    <hyperlink ref="K12" r:id="rId8" display="https://www.bis.gov.in/"/>
    <hyperlink ref="K13" r:id="rId9" display="https://www.bis.gov.in/"/>
    <hyperlink ref="K14" r:id="rId10" display="https://www.bis.gov.in/"/>
    <hyperlink ref="K15" r:id="rId11" display="https://www.bis.gov.in/"/>
    <hyperlink ref="K16" r:id="rId12" display="https://www.bis.gov.in/"/>
    <hyperlink ref="K17" r:id="rId13" display="https://www.bis.gov.in/"/>
    <hyperlink ref="K18" r:id="rId14" display="https://www.bis.gov.in/"/>
    <hyperlink ref="K19" r:id="rId15" display="https://www.astm.org/"/>
    <hyperlink ref="K20" r:id="rId16" display="https://www.astm.org/"/>
    <hyperlink ref="K21" r:id="rId17" display="https://www.astm.org/"/>
    <hyperlink ref="K22" r:id="rId18" display="https://www.astm.org/"/>
    <hyperlink ref="K23" r:id="rId19" display="https://www.astm.org/"/>
    <hyperlink ref="K24" r:id="rId20" display="https://www.astm.org/"/>
    <hyperlink ref="K25" r:id="rId21" display="https://www.astm.org/"/>
    <hyperlink ref="K26" r:id="rId22" display="https://www.astm.org/"/>
    <hyperlink ref="K27" r:id="rId23" display="https://www.astm.org/"/>
    <hyperlink ref="K28" r:id="rId24" display="https://www.astm.org/"/>
    <hyperlink ref="K29" r:id="rId25" display="https://www.astm.org/"/>
    <hyperlink ref="K30" r:id="rId26" display="https://www.astm.org/"/>
    <hyperlink ref="K31" r:id="rId27" display="https://www.iso.or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36"/>
    <col collapsed="false" customWidth="true" hidden="false" outlineLevel="0" max="7" min="7" style="0" width="24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2354</v>
      </c>
    </row>
    <row r="2" customFormat="false" ht="15" hidden="false" customHeight="false" outlineLevel="0" collapsed="false">
      <c r="A2" s="16" t="s">
        <v>2355</v>
      </c>
    </row>
    <row r="4" customFormat="false" ht="42" hidden="false" customHeight="true" outlineLevel="0" collapsed="false">
      <c r="A4" s="17" t="s">
        <v>1089</v>
      </c>
      <c r="B4" s="17" t="s">
        <v>2356</v>
      </c>
      <c r="C4" s="17" t="s">
        <v>2357</v>
      </c>
      <c r="D4" s="17" t="s">
        <v>2358</v>
      </c>
      <c r="E4" s="17" t="s">
        <v>2359</v>
      </c>
      <c r="F4" s="17" t="s">
        <v>2360</v>
      </c>
      <c r="G4" s="17" t="s">
        <v>2361</v>
      </c>
      <c r="H4" s="17" t="s">
        <v>1480</v>
      </c>
    </row>
    <row r="5" customFormat="false" ht="35.05" hidden="false" customHeight="false" outlineLevel="0" collapsed="false">
      <c r="A5" s="18" t="s">
        <v>2362</v>
      </c>
      <c r="B5" s="18" t="s">
        <v>2363</v>
      </c>
      <c r="C5" s="18" t="s">
        <v>2364</v>
      </c>
      <c r="D5" s="18" t="s">
        <v>2365</v>
      </c>
      <c r="E5" s="18" t="s">
        <v>2366</v>
      </c>
      <c r="F5" s="18" t="s">
        <v>2367</v>
      </c>
      <c r="G5" s="18" t="s">
        <v>2368</v>
      </c>
      <c r="H5" s="18" t="s">
        <v>21</v>
      </c>
    </row>
    <row r="6" customFormat="false" ht="23.85" hidden="false" customHeight="false" outlineLevel="0" collapsed="false">
      <c r="A6" s="18" t="s">
        <v>2369</v>
      </c>
      <c r="B6" s="18" t="s">
        <v>2370</v>
      </c>
      <c r="C6" s="18" t="s">
        <v>2371</v>
      </c>
      <c r="D6" s="18" t="s">
        <v>2372</v>
      </c>
      <c r="E6" s="18" t="s">
        <v>2373</v>
      </c>
      <c r="F6" s="18" t="s">
        <v>2374</v>
      </c>
      <c r="G6" s="18" t="s">
        <v>2375</v>
      </c>
      <c r="H6" s="18" t="s">
        <v>20</v>
      </c>
    </row>
    <row r="7" customFormat="false" ht="23.85" hidden="false" customHeight="false" outlineLevel="0" collapsed="false">
      <c r="A7" s="18" t="s">
        <v>2376</v>
      </c>
      <c r="B7" s="18" t="s">
        <v>2377</v>
      </c>
      <c r="C7" s="18" t="s">
        <v>2378</v>
      </c>
      <c r="D7" s="18" t="s">
        <v>2379</v>
      </c>
      <c r="E7" s="18" t="s">
        <v>2380</v>
      </c>
      <c r="F7" s="18" t="s">
        <v>2381</v>
      </c>
      <c r="G7" s="18" t="s">
        <v>2375</v>
      </c>
      <c r="H7" s="18" t="s">
        <v>20</v>
      </c>
    </row>
    <row r="8" customFormat="false" ht="23.85" hidden="false" customHeight="false" outlineLevel="0" collapsed="false">
      <c r="A8" s="18" t="s">
        <v>2382</v>
      </c>
      <c r="B8" s="18" t="s">
        <v>2383</v>
      </c>
      <c r="C8" s="18" t="s">
        <v>2384</v>
      </c>
      <c r="D8" s="18" t="s">
        <v>2385</v>
      </c>
      <c r="E8" s="18" t="s">
        <v>2386</v>
      </c>
      <c r="F8" s="18" t="s">
        <v>2387</v>
      </c>
      <c r="G8" s="18" t="s">
        <v>2388</v>
      </c>
      <c r="H8" s="18" t="s">
        <v>20</v>
      </c>
    </row>
    <row r="9" customFormat="false" ht="15" hidden="false" customHeight="false" outlineLevel="0" collapsed="false">
      <c r="A9" s="18" t="s">
        <v>2389</v>
      </c>
      <c r="B9" s="18" t="s">
        <v>2390</v>
      </c>
      <c r="C9" s="18" t="s">
        <v>2391</v>
      </c>
      <c r="D9" s="18" t="s">
        <v>2392</v>
      </c>
      <c r="E9" s="18" t="s">
        <v>2393</v>
      </c>
      <c r="F9" s="18" t="s">
        <v>2394</v>
      </c>
      <c r="G9" s="18" t="s">
        <v>2395</v>
      </c>
      <c r="H9" s="18" t="s">
        <v>20</v>
      </c>
    </row>
    <row r="10" customFormat="false" ht="23.85" hidden="false" customHeight="false" outlineLevel="0" collapsed="false">
      <c r="A10" s="18" t="s">
        <v>2396</v>
      </c>
      <c r="B10" s="18" t="s">
        <v>2397</v>
      </c>
      <c r="C10" s="18" t="s">
        <v>2398</v>
      </c>
      <c r="D10" s="18" t="s">
        <v>2399</v>
      </c>
      <c r="E10" s="18" t="s">
        <v>2400</v>
      </c>
      <c r="F10" s="18" t="s">
        <v>2401</v>
      </c>
      <c r="G10" s="18" t="s">
        <v>2388</v>
      </c>
      <c r="H10" s="18" t="s">
        <v>20</v>
      </c>
    </row>
    <row r="11" customFormat="false" ht="23.85" hidden="false" customHeight="false" outlineLevel="0" collapsed="false">
      <c r="A11" s="18" t="s">
        <v>2402</v>
      </c>
      <c r="B11" s="18" t="s">
        <v>2403</v>
      </c>
      <c r="C11" s="18" t="s">
        <v>2404</v>
      </c>
      <c r="D11" s="18" t="s">
        <v>2405</v>
      </c>
      <c r="E11" s="18" t="s">
        <v>2406</v>
      </c>
      <c r="F11" s="18" t="s">
        <v>2407</v>
      </c>
      <c r="G11" s="18" t="s">
        <v>2388</v>
      </c>
      <c r="H11" s="18" t="s">
        <v>20</v>
      </c>
    </row>
    <row r="12" customFormat="false" ht="35.05" hidden="false" customHeight="false" outlineLevel="0" collapsed="false">
      <c r="A12" s="18" t="s">
        <v>2408</v>
      </c>
      <c r="B12" s="18" t="s">
        <v>2409</v>
      </c>
      <c r="C12" s="18" t="s">
        <v>2410</v>
      </c>
      <c r="D12" s="18" t="s">
        <v>2411</v>
      </c>
      <c r="E12" s="18" t="s">
        <v>2412</v>
      </c>
      <c r="F12" s="18" t="s">
        <v>2413</v>
      </c>
      <c r="G12" s="18" t="s">
        <v>2414</v>
      </c>
      <c r="H12" s="18" t="s">
        <v>22</v>
      </c>
    </row>
    <row r="13" customFormat="false" ht="23.85" hidden="false" customHeight="false" outlineLevel="0" collapsed="false">
      <c r="A13" s="18" t="s">
        <v>2415</v>
      </c>
      <c r="B13" s="18" t="s">
        <v>2416</v>
      </c>
      <c r="C13" s="18" t="s">
        <v>2417</v>
      </c>
      <c r="D13" s="18" t="s">
        <v>2418</v>
      </c>
      <c r="E13" s="18" t="s">
        <v>2419</v>
      </c>
      <c r="F13" s="18" t="s">
        <v>2420</v>
      </c>
      <c r="G13" s="18" t="s">
        <v>2388</v>
      </c>
      <c r="H13" s="18" t="s">
        <v>20</v>
      </c>
    </row>
    <row r="14" customFormat="false" ht="15" hidden="false" customHeight="false" outlineLevel="0" collapsed="false">
      <c r="A14" s="18" t="s">
        <v>2421</v>
      </c>
      <c r="B14" s="18" t="s">
        <v>2422</v>
      </c>
      <c r="C14" s="18" t="s">
        <v>2423</v>
      </c>
      <c r="D14" s="18" t="s">
        <v>2424</v>
      </c>
      <c r="E14" s="18" t="s">
        <v>2425</v>
      </c>
      <c r="F14" s="18" t="s">
        <v>2426</v>
      </c>
      <c r="G14" s="18" t="s">
        <v>2388</v>
      </c>
      <c r="H14" s="18" t="s">
        <v>20</v>
      </c>
    </row>
    <row r="15" customFormat="false" ht="23.85" hidden="false" customHeight="false" outlineLevel="0" collapsed="false">
      <c r="A15" s="18" t="s">
        <v>2427</v>
      </c>
      <c r="B15" s="18" t="s">
        <v>2428</v>
      </c>
      <c r="C15" s="18" t="s">
        <v>2429</v>
      </c>
      <c r="D15" s="18" t="s">
        <v>2430</v>
      </c>
      <c r="E15" s="18" t="s">
        <v>2431</v>
      </c>
      <c r="F15" s="18" t="s">
        <v>2432</v>
      </c>
      <c r="G15" s="18" t="s">
        <v>2388</v>
      </c>
      <c r="H15" s="18" t="s">
        <v>20</v>
      </c>
    </row>
    <row r="16" customFormat="false" ht="23.85" hidden="false" customHeight="false" outlineLevel="0" collapsed="false">
      <c r="A16" s="18" t="s">
        <v>2433</v>
      </c>
      <c r="B16" s="18" t="s">
        <v>2434</v>
      </c>
      <c r="C16" s="18" t="s">
        <v>2435</v>
      </c>
      <c r="D16" s="18" t="s">
        <v>2436</v>
      </c>
      <c r="E16" s="18" t="s">
        <v>2437</v>
      </c>
      <c r="F16" s="18" t="s">
        <v>2438</v>
      </c>
      <c r="G16" s="18" t="s">
        <v>2388</v>
      </c>
      <c r="H16" s="18" t="s">
        <v>20</v>
      </c>
    </row>
    <row r="17" customFormat="false" ht="23.85" hidden="false" customHeight="false" outlineLevel="0" collapsed="false">
      <c r="A17" s="18" t="s">
        <v>2439</v>
      </c>
      <c r="B17" s="18" t="s">
        <v>2434</v>
      </c>
      <c r="C17" s="18" t="s">
        <v>2440</v>
      </c>
      <c r="D17" s="18" t="s">
        <v>2441</v>
      </c>
      <c r="E17" s="18" t="s">
        <v>2442</v>
      </c>
      <c r="F17" s="18" t="s">
        <v>2443</v>
      </c>
      <c r="G17" s="18" t="s">
        <v>2388</v>
      </c>
      <c r="H17" s="18" t="s">
        <v>20</v>
      </c>
    </row>
    <row r="18" customFormat="false" ht="23.85" hidden="false" customHeight="false" outlineLevel="0" collapsed="false">
      <c r="A18" s="18" t="s">
        <v>2444</v>
      </c>
      <c r="B18" s="18" t="s">
        <v>2434</v>
      </c>
      <c r="C18" s="18" t="s">
        <v>2445</v>
      </c>
      <c r="D18" s="18" t="s">
        <v>2446</v>
      </c>
      <c r="E18" s="18" t="s">
        <v>2447</v>
      </c>
      <c r="F18" s="18" t="s">
        <v>2448</v>
      </c>
      <c r="G18" s="18" t="s">
        <v>2388</v>
      </c>
      <c r="H18" s="18" t="s">
        <v>20</v>
      </c>
    </row>
    <row r="19" customFormat="false" ht="15" hidden="false" customHeight="false" outlineLevel="0" collapsed="false">
      <c r="A19" s="18" t="s">
        <v>2449</v>
      </c>
      <c r="B19" s="18" t="s">
        <v>2434</v>
      </c>
      <c r="C19" s="18" t="s">
        <v>2450</v>
      </c>
      <c r="D19" s="18" t="s">
        <v>2451</v>
      </c>
      <c r="E19" s="18" t="s">
        <v>2452</v>
      </c>
      <c r="F19" s="18" t="s">
        <v>2453</v>
      </c>
      <c r="G19" s="18" t="s">
        <v>1817</v>
      </c>
      <c r="H19" s="18" t="s">
        <v>22</v>
      </c>
    </row>
    <row r="20" customFormat="false" ht="15" hidden="false" customHeight="false" outlineLevel="0" collapsed="false">
      <c r="A20" s="18" t="s">
        <v>2454</v>
      </c>
      <c r="B20" s="18" t="s">
        <v>2434</v>
      </c>
      <c r="C20" s="18" t="s">
        <v>2455</v>
      </c>
      <c r="D20" s="18" t="s">
        <v>2456</v>
      </c>
      <c r="E20" s="18" t="s">
        <v>2457</v>
      </c>
      <c r="F20" s="18" t="s">
        <v>2453</v>
      </c>
      <c r="G20" s="18" t="s">
        <v>1817</v>
      </c>
      <c r="H20" s="18" t="s">
        <v>22</v>
      </c>
    </row>
    <row r="21" customFormat="false" ht="15" hidden="false" customHeight="false" outlineLevel="0" collapsed="false">
      <c r="A21" s="18" t="s">
        <v>2458</v>
      </c>
      <c r="B21" s="18" t="s">
        <v>2459</v>
      </c>
      <c r="C21" s="18" t="s">
        <v>2460</v>
      </c>
      <c r="D21" s="18" t="s">
        <v>2461</v>
      </c>
      <c r="E21" s="18" t="s">
        <v>2462</v>
      </c>
      <c r="F21" s="18" t="s">
        <v>2463</v>
      </c>
      <c r="G21" s="18" t="s">
        <v>1817</v>
      </c>
      <c r="H21" s="18" t="s">
        <v>20</v>
      </c>
    </row>
    <row r="22" customFormat="false" ht="23.85" hidden="false" customHeight="false" outlineLevel="0" collapsed="false">
      <c r="A22" s="18" t="s">
        <v>2464</v>
      </c>
      <c r="B22" s="18" t="s">
        <v>2465</v>
      </c>
      <c r="C22" s="18" t="s">
        <v>2466</v>
      </c>
      <c r="D22" s="18" t="s">
        <v>2467</v>
      </c>
      <c r="E22" s="18" t="s">
        <v>2468</v>
      </c>
      <c r="F22" s="18" t="s">
        <v>2469</v>
      </c>
      <c r="G22" s="18" t="s">
        <v>1817</v>
      </c>
      <c r="H22" s="18" t="s">
        <v>20</v>
      </c>
    </row>
    <row r="23" customFormat="false" ht="23.85" hidden="false" customHeight="false" outlineLevel="0" collapsed="false">
      <c r="A23" s="18" t="s">
        <v>2470</v>
      </c>
      <c r="B23" s="18" t="s">
        <v>2465</v>
      </c>
      <c r="C23" s="18" t="s">
        <v>2471</v>
      </c>
      <c r="D23" s="18" t="s">
        <v>2472</v>
      </c>
      <c r="E23" s="18" t="s">
        <v>2473</v>
      </c>
      <c r="F23" s="18" t="s">
        <v>2474</v>
      </c>
      <c r="G23" s="18" t="s">
        <v>1817</v>
      </c>
      <c r="H23" s="18" t="s">
        <v>22</v>
      </c>
    </row>
    <row r="24" customFormat="false" ht="15" hidden="false" customHeight="false" outlineLevel="0" collapsed="false">
      <c r="A24" s="18" t="s">
        <v>2475</v>
      </c>
      <c r="B24" s="18" t="s">
        <v>2476</v>
      </c>
      <c r="C24" s="18" t="s">
        <v>2477</v>
      </c>
      <c r="D24" s="18" t="s">
        <v>2478</v>
      </c>
      <c r="E24" s="18" t="s">
        <v>2479</v>
      </c>
      <c r="F24" s="18" t="s">
        <v>1817</v>
      </c>
      <c r="G24" s="18" t="s">
        <v>2480</v>
      </c>
      <c r="H24" s="18" t="s">
        <v>19</v>
      </c>
    </row>
    <row r="25" customFormat="false" ht="23.85" hidden="false" customHeight="false" outlineLevel="0" collapsed="false">
      <c r="A25" s="18" t="s">
        <v>2481</v>
      </c>
      <c r="B25" s="18" t="s">
        <v>2482</v>
      </c>
      <c r="C25" s="18" t="s">
        <v>2483</v>
      </c>
      <c r="D25" s="18" t="s">
        <v>2484</v>
      </c>
      <c r="E25" s="18" t="s">
        <v>2485</v>
      </c>
      <c r="F25" s="18" t="s">
        <v>2486</v>
      </c>
      <c r="G25" s="18" t="s">
        <v>2487</v>
      </c>
      <c r="H25" s="18" t="s">
        <v>19</v>
      </c>
    </row>
    <row r="26" customFormat="false" ht="23.85" hidden="false" customHeight="false" outlineLevel="0" collapsed="false">
      <c r="A26" s="18" t="s">
        <v>2488</v>
      </c>
      <c r="B26" s="18" t="s">
        <v>2489</v>
      </c>
      <c r="C26" s="18" t="s">
        <v>2490</v>
      </c>
      <c r="D26" s="18" t="s">
        <v>2491</v>
      </c>
      <c r="E26" s="18" t="s">
        <v>2492</v>
      </c>
      <c r="F26" s="18" t="s">
        <v>2493</v>
      </c>
      <c r="G26" s="18" t="s">
        <v>2494</v>
      </c>
      <c r="H26" s="18" t="s">
        <v>22</v>
      </c>
    </row>
  </sheetData>
  <autoFilter ref="A4:H26"/>
  <conditionalFormatting sqref="H5:H26">
    <cfRule type="cellIs" priority="2" operator="equal" aboveAverage="0" equalAverage="0" bottom="0" percent="0" rank="0" text="" dxfId="10">
      <formula>"Verified"</formula>
    </cfRule>
    <cfRule type="cellIs" priority="3" operator="equal" aboveAverage="0" equalAverage="0" bottom="0" percent="0" rank="0" text="" dxfId="11">
      <formula>"Conditionally verified"</formula>
    </cfRule>
    <cfRule type="cellIs" priority="4" operator="equal" aboveAverage="0" equalAverage="0" bottom="0" percent="0" rank="0" text="" dxfId="12">
      <formula>"Incorrect"</formula>
    </cfRule>
    <cfRule type="cellIs" priority="5" operator="equal" aboveAverage="0" equalAverage="0" bottom="0" percent="0" rank="0" text="" dxfId="13">
      <formula>"Unverified"</formula>
    </cfRule>
    <cfRule type="cellIs" priority="6" operator="equal" aboveAverage="0" equalAverage="0" bottom="0" percent="0" rank="0" text="" dxfId="14">
      <formula>"Not applicable (gap list)"</formula>
    </cfRule>
  </conditionalFormatting>
  <dataValidations count="1">
    <dataValidation allowBlank="true" errorStyle="stop" operator="between" showDropDown="false" showErrorMessage="false" showInputMessage="false" sqref="H5:H26" type="list">
      <formula1>"Verified,Conditionally verified,Incorrect,Unverified"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50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3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2495</v>
      </c>
    </row>
    <row r="2" customFormat="false" ht="15" hidden="false" customHeight="false" outlineLevel="0" collapsed="false">
      <c r="A2" s="16" t="s">
        <v>2496</v>
      </c>
    </row>
    <row r="4" customFormat="false" ht="42" hidden="false" customHeight="true" outlineLevel="0" collapsed="false">
      <c r="A4" s="17" t="s">
        <v>1089</v>
      </c>
      <c r="B4" s="17" t="s">
        <v>2497</v>
      </c>
      <c r="C4" s="17" t="s">
        <v>2498</v>
      </c>
      <c r="D4" s="17" t="s">
        <v>2499</v>
      </c>
      <c r="E4" s="17" t="s">
        <v>2500</v>
      </c>
      <c r="F4" s="17" t="s">
        <v>2501</v>
      </c>
      <c r="G4" s="17" t="s">
        <v>2502</v>
      </c>
      <c r="H4" s="17" t="s">
        <v>2503</v>
      </c>
      <c r="I4" s="17" t="s">
        <v>1480</v>
      </c>
    </row>
    <row r="5" customFormat="false" ht="23.85" hidden="false" customHeight="false" outlineLevel="0" collapsed="false">
      <c r="A5" s="18" t="s">
        <v>2504</v>
      </c>
      <c r="B5" s="18" t="s">
        <v>2505</v>
      </c>
      <c r="C5" s="18" t="s">
        <v>2506</v>
      </c>
      <c r="D5" s="18" t="s">
        <v>2507</v>
      </c>
      <c r="E5" s="18" t="s">
        <v>2508</v>
      </c>
      <c r="F5" s="18" t="s">
        <v>2509</v>
      </c>
      <c r="G5" s="18" t="s">
        <v>2510</v>
      </c>
      <c r="H5" s="18" t="s">
        <v>2511</v>
      </c>
      <c r="I5" s="18" t="s">
        <v>2512</v>
      </c>
    </row>
    <row r="6" customFormat="false" ht="23.85" hidden="false" customHeight="false" outlineLevel="0" collapsed="false">
      <c r="A6" s="18" t="s">
        <v>2513</v>
      </c>
      <c r="B6" s="18" t="s">
        <v>2514</v>
      </c>
      <c r="C6" s="18" t="s">
        <v>2506</v>
      </c>
      <c r="D6" s="18" t="s">
        <v>2515</v>
      </c>
      <c r="E6" s="18" t="s">
        <v>2516</v>
      </c>
      <c r="F6" s="18" t="s">
        <v>2517</v>
      </c>
      <c r="G6" s="18" t="s">
        <v>2518</v>
      </c>
      <c r="H6" s="18" t="s">
        <v>2519</v>
      </c>
      <c r="I6" s="18" t="s">
        <v>2512</v>
      </c>
    </row>
    <row r="7" customFormat="false" ht="23.85" hidden="false" customHeight="false" outlineLevel="0" collapsed="false">
      <c r="A7" s="18" t="s">
        <v>2520</v>
      </c>
      <c r="B7" s="18" t="s">
        <v>2521</v>
      </c>
      <c r="C7" s="18" t="s">
        <v>2522</v>
      </c>
      <c r="D7" s="18" t="s">
        <v>2523</v>
      </c>
      <c r="E7" s="18" t="s">
        <v>2524</v>
      </c>
      <c r="F7" s="18" t="s">
        <v>2525</v>
      </c>
      <c r="G7" s="18" t="s">
        <v>2526</v>
      </c>
      <c r="H7" s="18" t="s">
        <v>2527</v>
      </c>
      <c r="I7" s="18" t="s">
        <v>2512</v>
      </c>
    </row>
    <row r="8" customFormat="false" ht="23.85" hidden="false" customHeight="false" outlineLevel="0" collapsed="false">
      <c r="A8" s="18" t="s">
        <v>2528</v>
      </c>
      <c r="B8" s="18" t="s">
        <v>2529</v>
      </c>
      <c r="C8" s="18" t="s">
        <v>2530</v>
      </c>
      <c r="D8" s="18" t="s">
        <v>2531</v>
      </c>
      <c r="E8" s="18" t="s">
        <v>2532</v>
      </c>
      <c r="F8" s="18" t="s">
        <v>2533</v>
      </c>
      <c r="G8" s="18" t="s">
        <v>2534</v>
      </c>
      <c r="H8" s="18" t="s">
        <v>2535</v>
      </c>
      <c r="I8" s="18" t="s">
        <v>2512</v>
      </c>
    </row>
    <row r="9" customFormat="false" ht="23.85" hidden="false" customHeight="false" outlineLevel="0" collapsed="false">
      <c r="A9" s="18" t="s">
        <v>2536</v>
      </c>
      <c r="B9" s="18" t="s">
        <v>2537</v>
      </c>
      <c r="C9" s="18" t="s">
        <v>2538</v>
      </c>
      <c r="D9" s="18" t="s">
        <v>2539</v>
      </c>
      <c r="E9" s="18" t="s">
        <v>2540</v>
      </c>
      <c r="F9" s="18" t="s">
        <v>2541</v>
      </c>
      <c r="G9" s="18" t="s">
        <v>2542</v>
      </c>
      <c r="H9" s="18" t="s">
        <v>2543</v>
      </c>
      <c r="I9" s="18" t="s">
        <v>2512</v>
      </c>
    </row>
    <row r="10" customFormat="false" ht="35.05" hidden="false" customHeight="false" outlineLevel="0" collapsed="false">
      <c r="A10" s="18" t="s">
        <v>2544</v>
      </c>
      <c r="B10" s="18" t="s">
        <v>2545</v>
      </c>
      <c r="C10" s="18" t="s">
        <v>2546</v>
      </c>
      <c r="D10" s="18" t="s">
        <v>2547</v>
      </c>
      <c r="E10" s="18" t="s">
        <v>2548</v>
      </c>
      <c r="F10" s="18" t="s">
        <v>2549</v>
      </c>
      <c r="G10" s="18" t="s">
        <v>2550</v>
      </c>
      <c r="H10" s="18" t="s">
        <v>2551</v>
      </c>
      <c r="I10" s="18" t="s">
        <v>2512</v>
      </c>
    </row>
    <row r="11" customFormat="false" ht="23.85" hidden="false" customHeight="false" outlineLevel="0" collapsed="false">
      <c r="A11" s="18" t="s">
        <v>2552</v>
      </c>
      <c r="B11" s="18" t="s">
        <v>2553</v>
      </c>
      <c r="C11" s="18" t="s">
        <v>2554</v>
      </c>
      <c r="D11" s="18" t="s">
        <v>2555</v>
      </c>
      <c r="E11" s="18" t="s">
        <v>2556</v>
      </c>
      <c r="F11" s="18" t="s">
        <v>2557</v>
      </c>
      <c r="G11" s="18" t="s">
        <v>2558</v>
      </c>
      <c r="H11" s="18" t="s">
        <v>2559</v>
      </c>
      <c r="I11" s="18" t="s">
        <v>2512</v>
      </c>
    </row>
    <row r="12" customFormat="false" ht="23.85" hidden="false" customHeight="false" outlineLevel="0" collapsed="false">
      <c r="A12" s="18" t="s">
        <v>2560</v>
      </c>
      <c r="B12" s="18" t="s">
        <v>2561</v>
      </c>
      <c r="C12" s="18" t="s">
        <v>2554</v>
      </c>
      <c r="D12" s="18" t="s">
        <v>2562</v>
      </c>
      <c r="E12" s="18" t="s">
        <v>2563</v>
      </c>
      <c r="F12" s="18" t="s">
        <v>2564</v>
      </c>
      <c r="G12" s="18" t="s">
        <v>2565</v>
      </c>
      <c r="H12" s="18" t="s">
        <v>2566</v>
      </c>
      <c r="I12" s="18" t="s">
        <v>2512</v>
      </c>
    </row>
    <row r="13" customFormat="false" ht="23.85" hidden="false" customHeight="false" outlineLevel="0" collapsed="false">
      <c r="A13" s="18" t="s">
        <v>2567</v>
      </c>
      <c r="B13" s="18" t="s">
        <v>2568</v>
      </c>
      <c r="C13" s="18" t="s">
        <v>2506</v>
      </c>
      <c r="D13" s="18" t="s">
        <v>2569</v>
      </c>
      <c r="E13" s="18" t="s">
        <v>2570</v>
      </c>
      <c r="F13" s="18" t="s">
        <v>2571</v>
      </c>
      <c r="G13" s="18" t="s">
        <v>2572</v>
      </c>
      <c r="H13" s="18" t="s">
        <v>2573</v>
      </c>
      <c r="I13" s="18" t="s">
        <v>2512</v>
      </c>
    </row>
    <row r="14" customFormat="false" ht="23.85" hidden="false" customHeight="false" outlineLevel="0" collapsed="false">
      <c r="A14" s="18" t="s">
        <v>2574</v>
      </c>
      <c r="B14" s="18" t="s">
        <v>2575</v>
      </c>
      <c r="C14" s="18" t="s">
        <v>2506</v>
      </c>
      <c r="D14" s="18" t="s">
        <v>2576</v>
      </c>
      <c r="E14" s="18" t="s">
        <v>2577</v>
      </c>
      <c r="F14" s="18" t="s">
        <v>2578</v>
      </c>
      <c r="G14" s="18" t="s">
        <v>2579</v>
      </c>
      <c r="H14" s="18" t="s">
        <v>2580</v>
      </c>
      <c r="I14" s="18" t="s">
        <v>2512</v>
      </c>
    </row>
    <row r="15" customFormat="false" ht="23.85" hidden="false" customHeight="false" outlineLevel="0" collapsed="false">
      <c r="A15" s="18" t="s">
        <v>2581</v>
      </c>
      <c r="B15" s="18" t="s">
        <v>2582</v>
      </c>
      <c r="C15" s="18" t="s">
        <v>2583</v>
      </c>
      <c r="D15" s="18" t="s">
        <v>2584</v>
      </c>
      <c r="E15" s="18" t="s">
        <v>2585</v>
      </c>
      <c r="F15" s="18" t="s">
        <v>2586</v>
      </c>
      <c r="G15" s="18" t="s">
        <v>2587</v>
      </c>
      <c r="H15" s="18" t="s">
        <v>2588</v>
      </c>
      <c r="I15" s="18" t="s">
        <v>2512</v>
      </c>
    </row>
    <row r="16" customFormat="false" ht="23.85" hidden="false" customHeight="false" outlineLevel="0" collapsed="false">
      <c r="A16" s="18" t="s">
        <v>2589</v>
      </c>
      <c r="B16" s="18" t="s">
        <v>2590</v>
      </c>
      <c r="C16" s="18" t="s">
        <v>2591</v>
      </c>
      <c r="D16" s="18" t="s">
        <v>2592</v>
      </c>
      <c r="E16" s="18" t="s">
        <v>2593</v>
      </c>
      <c r="F16" s="18" t="s">
        <v>2594</v>
      </c>
      <c r="G16" s="18" t="s">
        <v>2595</v>
      </c>
      <c r="H16" s="18" t="s">
        <v>2596</v>
      </c>
      <c r="I16" s="18" t="s">
        <v>2512</v>
      </c>
    </row>
    <row r="17" customFormat="false" ht="23.85" hidden="false" customHeight="false" outlineLevel="0" collapsed="false">
      <c r="A17" s="18" t="s">
        <v>2597</v>
      </c>
      <c r="B17" s="18" t="s">
        <v>2598</v>
      </c>
      <c r="C17" s="18" t="s">
        <v>2591</v>
      </c>
      <c r="D17" s="18" t="s">
        <v>2599</v>
      </c>
      <c r="E17" s="18" t="s">
        <v>2600</v>
      </c>
      <c r="F17" s="18" t="s">
        <v>2601</v>
      </c>
      <c r="G17" s="18" t="s">
        <v>2602</v>
      </c>
      <c r="H17" s="18" t="s">
        <v>2603</v>
      </c>
      <c r="I17" s="18" t="s">
        <v>2512</v>
      </c>
    </row>
    <row r="18" customFormat="false" ht="35.05" hidden="false" customHeight="false" outlineLevel="0" collapsed="false">
      <c r="A18" s="18" t="s">
        <v>2604</v>
      </c>
      <c r="B18" s="18" t="s">
        <v>2605</v>
      </c>
      <c r="C18" s="18" t="s">
        <v>2522</v>
      </c>
      <c r="D18" s="18" t="s">
        <v>2606</v>
      </c>
      <c r="E18" s="18" t="s">
        <v>2607</v>
      </c>
      <c r="F18" s="18" t="s">
        <v>2608</v>
      </c>
      <c r="G18" s="18" t="s">
        <v>2609</v>
      </c>
      <c r="H18" s="18" t="s">
        <v>2610</v>
      </c>
      <c r="I18" s="18" t="s">
        <v>2512</v>
      </c>
    </row>
    <row r="19" customFormat="false" ht="23.85" hidden="false" customHeight="false" outlineLevel="0" collapsed="false">
      <c r="A19" s="18" t="s">
        <v>2611</v>
      </c>
      <c r="B19" s="18" t="s">
        <v>2612</v>
      </c>
      <c r="C19" s="18" t="s">
        <v>2583</v>
      </c>
      <c r="D19" s="18" t="s">
        <v>2613</v>
      </c>
      <c r="E19" s="18" t="s">
        <v>2614</v>
      </c>
      <c r="F19" s="18" t="s">
        <v>2615</v>
      </c>
      <c r="G19" s="18" t="s">
        <v>2616</v>
      </c>
      <c r="H19" s="18" t="s">
        <v>2617</v>
      </c>
      <c r="I19" s="18" t="s">
        <v>2512</v>
      </c>
    </row>
    <row r="20" customFormat="false" ht="23.85" hidden="false" customHeight="false" outlineLevel="0" collapsed="false">
      <c r="A20" s="18" t="s">
        <v>2618</v>
      </c>
      <c r="B20" s="18" t="s">
        <v>2619</v>
      </c>
      <c r="C20" s="18" t="s">
        <v>2620</v>
      </c>
      <c r="D20" s="18" t="s">
        <v>2621</v>
      </c>
      <c r="E20" s="18" t="s">
        <v>2622</v>
      </c>
      <c r="F20" s="18" t="s">
        <v>2623</v>
      </c>
      <c r="G20" s="18" t="s">
        <v>2624</v>
      </c>
      <c r="H20" s="18" t="s">
        <v>2625</v>
      </c>
      <c r="I20" s="18" t="s">
        <v>2512</v>
      </c>
    </row>
    <row r="21" customFormat="false" ht="35.05" hidden="false" customHeight="false" outlineLevel="0" collapsed="false">
      <c r="A21" s="18" t="s">
        <v>2626</v>
      </c>
      <c r="B21" s="18" t="s">
        <v>2627</v>
      </c>
      <c r="C21" s="18" t="s">
        <v>2620</v>
      </c>
      <c r="D21" s="18" t="s">
        <v>2628</v>
      </c>
      <c r="E21" s="18" t="s">
        <v>2629</v>
      </c>
      <c r="F21" s="18" t="s">
        <v>2630</v>
      </c>
      <c r="G21" s="18" t="s">
        <v>2631</v>
      </c>
      <c r="H21" s="18" t="s">
        <v>2632</v>
      </c>
      <c r="I21" s="18" t="s">
        <v>2512</v>
      </c>
    </row>
    <row r="22" customFormat="false" ht="23.85" hidden="false" customHeight="false" outlineLevel="0" collapsed="false">
      <c r="A22" s="18" t="s">
        <v>2633</v>
      </c>
      <c r="B22" s="18" t="s">
        <v>2634</v>
      </c>
      <c r="C22" s="18" t="s">
        <v>2620</v>
      </c>
      <c r="D22" s="18" t="s">
        <v>2635</v>
      </c>
      <c r="E22" s="18" t="s">
        <v>2636</v>
      </c>
      <c r="F22" s="18" t="s">
        <v>2637</v>
      </c>
      <c r="G22" s="18" t="s">
        <v>2638</v>
      </c>
      <c r="H22" s="18" t="s">
        <v>2639</v>
      </c>
      <c r="I22" s="18" t="s">
        <v>2512</v>
      </c>
    </row>
    <row r="23" customFormat="false" ht="35.05" hidden="false" customHeight="false" outlineLevel="0" collapsed="false">
      <c r="A23" s="18" t="s">
        <v>2640</v>
      </c>
      <c r="B23" s="18" t="s">
        <v>2641</v>
      </c>
      <c r="C23" s="18" t="s">
        <v>2620</v>
      </c>
      <c r="D23" s="18" t="s">
        <v>2642</v>
      </c>
      <c r="E23" s="18" t="s">
        <v>2643</v>
      </c>
      <c r="F23" s="18" t="s">
        <v>2644</v>
      </c>
      <c r="G23" s="18" t="s">
        <v>2645</v>
      </c>
      <c r="H23" s="18" t="s">
        <v>2646</v>
      </c>
      <c r="I23" s="18" t="s">
        <v>2512</v>
      </c>
    </row>
    <row r="24" customFormat="false" ht="15" hidden="false" customHeight="false" outlineLevel="0" collapsed="false">
      <c r="A24" s="18" t="s">
        <v>2647</v>
      </c>
      <c r="B24" s="18" t="s">
        <v>2648</v>
      </c>
      <c r="C24" s="18" t="s">
        <v>2649</v>
      </c>
      <c r="D24" s="18" t="s">
        <v>2650</v>
      </c>
      <c r="E24" s="18" t="s">
        <v>2651</v>
      </c>
      <c r="F24" s="18" t="s">
        <v>1817</v>
      </c>
      <c r="G24" s="18" t="s">
        <v>2652</v>
      </c>
      <c r="H24" s="18" t="s">
        <v>2653</v>
      </c>
      <c r="I24" s="18" t="s">
        <v>2512</v>
      </c>
    </row>
    <row r="25" customFormat="false" ht="35.05" hidden="false" customHeight="false" outlineLevel="0" collapsed="false">
      <c r="A25" s="18" t="s">
        <v>2654</v>
      </c>
      <c r="B25" s="18" t="s">
        <v>2655</v>
      </c>
      <c r="C25" s="18" t="s">
        <v>2583</v>
      </c>
      <c r="D25" s="18" t="s">
        <v>2656</v>
      </c>
      <c r="E25" s="18" t="s">
        <v>2657</v>
      </c>
      <c r="F25" s="18" t="s">
        <v>2658</v>
      </c>
      <c r="G25" s="18" t="s">
        <v>2659</v>
      </c>
      <c r="H25" s="18" t="s">
        <v>2660</v>
      </c>
      <c r="I25" s="18" t="s">
        <v>2512</v>
      </c>
    </row>
    <row r="26" customFormat="false" ht="23.85" hidden="false" customHeight="false" outlineLevel="0" collapsed="false">
      <c r="A26" s="18" t="s">
        <v>2661</v>
      </c>
      <c r="B26" s="18" t="s">
        <v>2662</v>
      </c>
      <c r="C26" s="18" t="s">
        <v>2663</v>
      </c>
      <c r="D26" s="18" t="s">
        <v>2664</v>
      </c>
      <c r="E26" s="18" t="s">
        <v>2665</v>
      </c>
      <c r="F26" s="18" t="s">
        <v>2666</v>
      </c>
      <c r="G26" s="18" t="s">
        <v>2667</v>
      </c>
      <c r="H26" s="18" t="s">
        <v>2668</v>
      </c>
      <c r="I26" s="18" t="s">
        <v>2512</v>
      </c>
    </row>
    <row r="27" customFormat="false" ht="23.85" hidden="false" customHeight="false" outlineLevel="0" collapsed="false">
      <c r="A27" s="18" t="s">
        <v>2669</v>
      </c>
      <c r="B27" s="18" t="s">
        <v>2670</v>
      </c>
      <c r="C27" s="18" t="s">
        <v>2671</v>
      </c>
      <c r="D27" s="18" t="s">
        <v>2672</v>
      </c>
      <c r="E27" s="18" t="s">
        <v>2673</v>
      </c>
      <c r="F27" s="18" t="s">
        <v>1817</v>
      </c>
      <c r="G27" s="18" t="s">
        <v>2674</v>
      </c>
      <c r="H27" s="18" t="s">
        <v>2675</v>
      </c>
      <c r="I27" s="18" t="s">
        <v>2512</v>
      </c>
    </row>
    <row r="28" customFormat="false" ht="23.85" hidden="false" customHeight="false" outlineLevel="0" collapsed="false">
      <c r="A28" s="18" t="s">
        <v>2676</v>
      </c>
      <c r="B28" s="18" t="s">
        <v>2677</v>
      </c>
      <c r="C28" s="18" t="s">
        <v>2678</v>
      </c>
      <c r="D28" s="18" t="s">
        <v>2679</v>
      </c>
      <c r="E28" s="18" t="s">
        <v>2680</v>
      </c>
      <c r="F28" s="18" t="s">
        <v>2681</v>
      </c>
      <c r="G28" s="18" t="s">
        <v>2682</v>
      </c>
      <c r="H28" s="18" t="s">
        <v>2683</v>
      </c>
      <c r="I28" s="18" t="s">
        <v>2512</v>
      </c>
    </row>
    <row r="29" customFormat="false" ht="15" hidden="false" customHeight="false" outlineLevel="0" collapsed="false">
      <c r="A29" s="18" t="s">
        <v>2684</v>
      </c>
      <c r="B29" s="18" t="s">
        <v>2685</v>
      </c>
      <c r="C29" s="18" t="s">
        <v>2686</v>
      </c>
      <c r="D29" s="18" t="s">
        <v>2687</v>
      </c>
      <c r="E29" s="18" t="s">
        <v>2688</v>
      </c>
      <c r="F29" s="18" t="s">
        <v>2689</v>
      </c>
      <c r="G29" s="18" t="s">
        <v>2690</v>
      </c>
      <c r="H29" s="18" t="s">
        <v>2691</v>
      </c>
      <c r="I29" s="18" t="s">
        <v>2512</v>
      </c>
    </row>
    <row r="30" customFormat="false" ht="23.85" hidden="false" customHeight="false" outlineLevel="0" collapsed="false">
      <c r="A30" s="18" t="s">
        <v>2692</v>
      </c>
      <c r="B30" s="18" t="s">
        <v>2693</v>
      </c>
      <c r="C30" s="18" t="s">
        <v>2694</v>
      </c>
      <c r="D30" s="18" t="s">
        <v>2695</v>
      </c>
      <c r="E30" s="18" t="s">
        <v>2696</v>
      </c>
      <c r="F30" s="18" t="s">
        <v>1817</v>
      </c>
      <c r="G30" s="18" t="s">
        <v>2697</v>
      </c>
      <c r="H30" s="18" t="s">
        <v>2698</v>
      </c>
      <c r="I30" s="18" t="s">
        <v>2512</v>
      </c>
    </row>
    <row r="31" customFormat="false" ht="23.85" hidden="false" customHeight="false" outlineLevel="0" collapsed="false">
      <c r="A31" s="18" t="s">
        <v>2699</v>
      </c>
      <c r="B31" s="18" t="s">
        <v>2700</v>
      </c>
      <c r="C31" s="18" t="s">
        <v>2583</v>
      </c>
      <c r="D31" s="18" t="s">
        <v>2701</v>
      </c>
      <c r="E31" s="18" t="s">
        <v>2702</v>
      </c>
      <c r="F31" s="18" t="s">
        <v>2703</v>
      </c>
      <c r="G31" s="18" t="s">
        <v>2704</v>
      </c>
      <c r="H31" s="18" t="s">
        <v>2705</v>
      </c>
      <c r="I31" s="18" t="s">
        <v>2512</v>
      </c>
    </row>
    <row r="32" customFormat="false" ht="35.05" hidden="false" customHeight="false" outlineLevel="0" collapsed="false">
      <c r="A32" s="18" t="s">
        <v>2706</v>
      </c>
      <c r="B32" s="18" t="s">
        <v>2707</v>
      </c>
      <c r="C32" s="18" t="s">
        <v>1847</v>
      </c>
      <c r="D32" s="18" t="s">
        <v>2708</v>
      </c>
      <c r="E32" s="18" t="s">
        <v>2709</v>
      </c>
      <c r="F32" s="18" t="s">
        <v>2710</v>
      </c>
      <c r="G32" s="18" t="s">
        <v>2711</v>
      </c>
      <c r="H32" s="18" t="s">
        <v>2712</v>
      </c>
      <c r="I32" s="18" t="s">
        <v>2512</v>
      </c>
    </row>
    <row r="33" customFormat="false" ht="23.85" hidden="false" customHeight="false" outlineLevel="0" collapsed="false">
      <c r="A33" s="18" t="s">
        <v>2713</v>
      </c>
      <c r="B33" s="18" t="s">
        <v>2714</v>
      </c>
      <c r="C33" s="18" t="s">
        <v>2583</v>
      </c>
      <c r="D33" s="18" t="s">
        <v>2715</v>
      </c>
      <c r="E33" s="18" t="s">
        <v>2716</v>
      </c>
      <c r="F33" s="18" t="s">
        <v>2717</v>
      </c>
      <c r="G33" s="18" t="s">
        <v>2718</v>
      </c>
      <c r="H33" s="18" t="s">
        <v>2719</v>
      </c>
      <c r="I33" s="18" t="s">
        <v>2512</v>
      </c>
    </row>
    <row r="34" customFormat="false" ht="35.05" hidden="false" customHeight="false" outlineLevel="0" collapsed="false">
      <c r="A34" s="18" t="s">
        <v>2720</v>
      </c>
      <c r="B34" s="18" t="s">
        <v>2721</v>
      </c>
      <c r="C34" s="18" t="s">
        <v>2583</v>
      </c>
      <c r="D34" s="18" t="s">
        <v>1856</v>
      </c>
      <c r="E34" s="18" t="s">
        <v>2722</v>
      </c>
      <c r="F34" s="18" t="s">
        <v>1817</v>
      </c>
      <c r="G34" s="18" t="s">
        <v>2723</v>
      </c>
      <c r="H34" s="18" t="s">
        <v>2724</v>
      </c>
      <c r="I34" s="18" t="s">
        <v>2512</v>
      </c>
    </row>
    <row r="35" customFormat="false" ht="23.85" hidden="false" customHeight="false" outlineLevel="0" collapsed="false">
      <c r="A35" s="18" t="s">
        <v>2725</v>
      </c>
      <c r="B35" s="18" t="s">
        <v>2726</v>
      </c>
      <c r="C35" s="18" t="s">
        <v>2620</v>
      </c>
      <c r="D35" s="18" t="s">
        <v>2727</v>
      </c>
      <c r="E35" s="18" t="s">
        <v>2728</v>
      </c>
      <c r="F35" s="18" t="s">
        <v>1817</v>
      </c>
      <c r="G35" s="18" t="s">
        <v>2729</v>
      </c>
      <c r="H35" s="18" t="s">
        <v>2730</v>
      </c>
      <c r="I35" s="18" t="s">
        <v>2512</v>
      </c>
    </row>
    <row r="36" customFormat="false" ht="35.05" hidden="false" customHeight="false" outlineLevel="0" collapsed="false">
      <c r="A36" s="18" t="s">
        <v>2731</v>
      </c>
      <c r="B36" s="18" t="s">
        <v>2732</v>
      </c>
      <c r="C36" s="18" t="s">
        <v>2733</v>
      </c>
      <c r="D36" s="18" t="s">
        <v>2734</v>
      </c>
      <c r="E36" s="18" t="s">
        <v>2735</v>
      </c>
      <c r="F36" s="18" t="s">
        <v>1817</v>
      </c>
      <c r="G36" s="18" t="s">
        <v>2736</v>
      </c>
      <c r="H36" s="18" t="s">
        <v>2737</v>
      </c>
      <c r="I36" s="18" t="s">
        <v>2512</v>
      </c>
    </row>
    <row r="37" customFormat="false" ht="35.05" hidden="false" customHeight="false" outlineLevel="0" collapsed="false">
      <c r="A37" s="18" t="s">
        <v>2738</v>
      </c>
      <c r="B37" s="18" t="s">
        <v>2739</v>
      </c>
      <c r="C37" s="18" t="s">
        <v>2733</v>
      </c>
      <c r="D37" s="18" t="s">
        <v>2122</v>
      </c>
      <c r="E37" s="18" t="s">
        <v>2740</v>
      </c>
      <c r="F37" s="18" t="s">
        <v>1817</v>
      </c>
      <c r="G37" s="18" t="s">
        <v>2741</v>
      </c>
      <c r="H37" s="18" t="s">
        <v>2742</v>
      </c>
      <c r="I37" s="18" t="s">
        <v>2512</v>
      </c>
    </row>
    <row r="38" customFormat="false" ht="35.05" hidden="false" customHeight="false" outlineLevel="0" collapsed="false">
      <c r="A38" s="18" t="s">
        <v>2743</v>
      </c>
      <c r="B38" s="18" t="s">
        <v>2744</v>
      </c>
      <c r="C38" s="18" t="s">
        <v>2745</v>
      </c>
      <c r="D38" s="18" t="s">
        <v>2746</v>
      </c>
      <c r="E38" s="18" t="s">
        <v>2747</v>
      </c>
      <c r="F38" s="18" t="s">
        <v>2748</v>
      </c>
      <c r="G38" s="18" t="s">
        <v>2749</v>
      </c>
      <c r="H38" s="18" t="s">
        <v>2750</v>
      </c>
      <c r="I38" s="18" t="s">
        <v>2512</v>
      </c>
    </row>
    <row r="39" customFormat="false" ht="23.85" hidden="false" customHeight="false" outlineLevel="0" collapsed="false">
      <c r="A39" s="18" t="s">
        <v>2751</v>
      </c>
      <c r="B39" s="18" t="s">
        <v>2752</v>
      </c>
      <c r="C39" s="18" t="s">
        <v>2686</v>
      </c>
      <c r="D39" s="18" t="s">
        <v>2753</v>
      </c>
      <c r="E39" s="18" t="s">
        <v>2754</v>
      </c>
      <c r="F39" s="18" t="s">
        <v>2689</v>
      </c>
      <c r="G39" s="18" t="s">
        <v>2755</v>
      </c>
      <c r="H39" s="18" t="s">
        <v>1817</v>
      </c>
      <c r="I39" s="18" t="s">
        <v>2512</v>
      </c>
    </row>
  </sheetData>
  <autoFilter ref="A4:I3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6" min="4" style="0" width="4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2756</v>
      </c>
    </row>
    <row r="2" customFormat="false" ht="15" hidden="false" customHeight="false" outlineLevel="0" collapsed="false">
      <c r="A2" s="16" t="s">
        <v>2757</v>
      </c>
    </row>
    <row r="4" customFormat="false" ht="42" hidden="false" customHeight="true" outlineLevel="0" collapsed="false">
      <c r="A4" s="17" t="s">
        <v>2758</v>
      </c>
      <c r="B4" s="17" t="s">
        <v>2759</v>
      </c>
      <c r="C4" s="17" t="s">
        <v>2760</v>
      </c>
      <c r="D4" s="17" t="s">
        <v>2761</v>
      </c>
      <c r="E4" s="17" t="s">
        <v>2762</v>
      </c>
      <c r="F4" s="17" t="s">
        <v>2763</v>
      </c>
      <c r="G4" s="17" t="s">
        <v>2764</v>
      </c>
    </row>
    <row r="5" customFormat="false" ht="23.85" hidden="false" customHeight="false" outlineLevel="0" collapsed="false">
      <c r="A5" s="18" t="s">
        <v>2765</v>
      </c>
      <c r="B5" s="18" t="s">
        <v>2766</v>
      </c>
      <c r="C5" s="18" t="s">
        <v>2767</v>
      </c>
      <c r="D5" s="18" t="s">
        <v>2768</v>
      </c>
      <c r="E5" s="18" t="s">
        <v>2769</v>
      </c>
      <c r="F5" s="18" t="s">
        <v>2770</v>
      </c>
      <c r="G5" s="18" t="s">
        <v>2771</v>
      </c>
    </row>
    <row r="6" customFormat="false" ht="15" hidden="false" customHeight="false" outlineLevel="0" collapsed="false">
      <c r="A6" s="18" t="s">
        <v>2765</v>
      </c>
      <c r="B6" s="18" t="s">
        <v>2772</v>
      </c>
      <c r="C6" s="18" t="s">
        <v>2773</v>
      </c>
      <c r="D6" s="18" t="s">
        <v>2774</v>
      </c>
      <c r="E6" s="18" t="s">
        <v>2775</v>
      </c>
      <c r="F6" s="18" t="s">
        <v>2776</v>
      </c>
      <c r="G6" s="18" t="s">
        <v>2777</v>
      </c>
    </row>
    <row r="7" customFormat="false" ht="15" hidden="false" customHeight="false" outlineLevel="0" collapsed="false">
      <c r="A7" s="18" t="s">
        <v>2765</v>
      </c>
      <c r="B7" s="18" t="s">
        <v>2772</v>
      </c>
      <c r="C7" s="18" t="s">
        <v>2778</v>
      </c>
      <c r="D7" s="18" t="s">
        <v>2779</v>
      </c>
      <c r="E7" s="18" t="s">
        <v>2780</v>
      </c>
      <c r="F7" s="18" t="s">
        <v>2781</v>
      </c>
      <c r="G7" s="18" t="s">
        <v>958</v>
      </c>
    </row>
    <row r="8" customFormat="false" ht="15" hidden="false" customHeight="false" outlineLevel="0" collapsed="false">
      <c r="A8" s="18" t="s">
        <v>2765</v>
      </c>
      <c r="B8" s="18" t="s">
        <v>2772</v>
      </c>
      <c r="C8" s="18" t="s">
        <v>2782</v>
      </c>
      <c r="D8" s="18" t="s">
        <v>2783</v>
      </c>
      <c r="E8" s="18" t="s">
        <v>2784</v>
      </c>
      <c r="F8" s="18" t="s">
        <v>2785</v>
      </c>
      <c r="G8" s="18" t="s">
        <v>825</v>
      </c>
    </row>
    <row r="9" customFormat="false" ht="23.85" hidden="false" customHeight="false" outlineLevel="0" collapsed="false">
      <c r="A9" s="18" t="s">
        <v>2786</v>
      </c>
      <c r="B9" s="18" t="s">
        <v>2787</v>
      </c>
      <c r="C9" s="18" t="s">
        <v>2788</v>
      </c>
      <c r="D9" s="18" t="s">
        <v>2789</v>
      </c>
      <c r="E9" s="18" t="s">
        <v>2790</v>
      </c>
      <c r="F9" s="18" t="s">
        <v>2791</v>
      </c>
      <c r="G9" s="18" t="s">
        <v>789</v>
      </c>
    </row>
    <row r="10" customFormat="false" ht="15" hidden="false" customHeight="false" outlineLevel="0" collapsed="false">
      <c r="A10" s="18" t="s">
        <v>2786</v>
      </c>
      <c r="B10" s="18" t="s">
        <v>2772</v>
      </c>
      <c r="C10" s="18" t="s">
        <v>2792</v>
      </c>
      <c r="D10" s="18" t="s">
        <v>2793</v>
      </c>
      <c r="E10" s="18" t="s">
        <v>2794</v>
      </c>
      <c r="F10" s="18" t="s">
        <v>2795</v>
      </c>
      <c r="G10" s="18" t="s">
        <v>958</v>
      </c>
    </row>
    <row r="11" customFormat="false" ht="15" hidden="false" customHeight="false" outlineLevel="0" collapsed="false">
      <c r="A11" s="18" t="s">
        <v>2786</v>
      </c>
      <c r="B11" s="18" t="s">
        <v>2772</v>
      </c>
      <c r="C11" s="18" t="s">
        <v>2796</v>
      </c>
      <c r="D11" s="18" t="s">
        <v>2797</v>
      </c>
      <c r="E11" s="18" t="s">
        <v>2798</v>
      </c>
      <c r="F11" s="18" t="s">
        <v>2799</v>
      </c>
      <c r="G11" s="18" t="s">
        <v>958</v>
      </c>
    </row>
    <row r="12" customFormat="false" ht="23.85" hidden="false" customHeight="false" outlineLevel="0" collapsed="false">
      <c r="A12" s="18" t="s">
        <v>2800</v>
      </c>
      <c r="B12" s="18" t="s">
        <v>2801</v>
      </c>
      <c r="C12" s="18" t="s">
        <v>2802</v>
      </c>
      <c r="D12" s="18" t="s">
        <v>2803</v>
      </c>
      <c r="E12" s="18" t="s">
        <v>2804</v>
      </c>
      <c r="F12" s="18" t="s">
        <v>2805</v>
      </c>
      <c r="G12" s="18" t="s">
        <v>825</v>
      </c>
    </row>
    <row r="13" customFormat="false" ht="23.85" hidden="false" customHeight="false" outlineLevel="0" collapsed="false">
      <c r="A13" s="18" t="s">
        <v>2800</v>
      </c>
      <c r="B13" s="18" t="s">
        <v>2772</v>
      </c>
      <c r="C13" s="18" t="s">
        <v>2806</v>
      </c>
      <c r="D13" s="18" t="s">
        <v>2807</v>
      </c>
      <c r="E13" s="18" t="s">
        <v>2808</v>
      </c>
      <c r="F13" s="18" t="s">
        <v>2809</v>
      </c>
      <c r="G13" s="18" t="s">
        <v>789</v>
      </c>
    </row>
    <row r="14" customFormat="false" ht="23.85" hidden="false" customHeight="false" outlineLevel="0" collapsed="false">
      <c r="A14" s="18" t="s">
        <v>2800</v>
      </c>
      <c r="B14" s="18" t="s">
        <v>2772</v>
      </c>
      <c r="C14" s="18" t="s">
        <v>2810</v>
      </c>
      <c r="D14" s="18" t="s">
        <v>2811</v>
      </c>
      <c r="E14" s="18" t="s">
        <v>2812</v>
      </c>
      <c r="F14" s="18" t="s">
        <v>2813</v>
      </c>
      <c r="G14" s="18" t="s">
        <v>2814</v>
      </c>
    </row>
    <row r="15" customFormat="false" ht="23.85" hidden="false" customHeight="false" outlineLevel="0" collapsed="false">
      <c r="A15" s="18" t="s">
        <v>2815</v>
      </c>
      <c r="B15" s="18" t="s">
        <v>2816</v>
      </c>
      <c r="C15" s="18" t="s">
        <v>2817</v>
      </c>
      <c r="D15" s="18" t="s">
        <v>2818</v>
      </c>
      <c r="E15" s="18" t="s">
        <v>2819</v>
      </c>
      <c r="F15" s="18" t="s">
        <v>2820</v>
      </c>
      <c r="G15" s="18" t="s">
        <v>789</v>
      </c>
    </row>
    <row r="16" customFormat="false" ht="15" hidden="false" customHeight="false" outlineLevel="0" collapsed="false">
      <c r="A16" s="18" t="s">
        <v>2815</v>
      </c>
      <c r="B16" s="18" t="s">
        <v>2772</v>
      </c>
      <c r="C16" s="18" t="s">
        <v>2821</v>
      </c>
      <c r="D16" s="18" t="s">
        <v>2822</v>
      </c>
      <c r="E16" s="18" t="s">
        <v>2823</v>
      </c>
      <c r="F16" s="18" t="s">
        <v>2824</v>
      </c>
      <c r="G16" s="18" t="s">
        <v>2814</v>
      </c>
    </row>
    <row r="17" customFormat="false" ht="15" hidden="false" customHeight="false" outlineLevel="0" collapsed="false">
      <c r="A17" s="18" t="s">
        <v>2815</v>
      </c>
      <c r="B17" s="18" t="s">
        <v>2772</v>
      </c>
      <c r="C17" s="18" t="s">
        <v>2825</v>
      </c>
      <c r="D17" s="18" t="s">
        <v>2826</v>
      </c>
      <c r="E17" s="18" t="s">
        <v>2827</v>
      </c>
      <c r="F17" s="18" t="s">
        <v>2828</v>
      </c>
      <c r="G17" s="18" t="s">
        <v>825</v>
      </c>
    </row>
    <row r="18" customFormat="false" ht="23.85" hidden="false" customHeight="false" outlineLevel="0" collapsed="false">
      <c r="A18" s="18" t="s">
        <v>2829</v>
      </c>
      <c r="B18" s="18" t="s">
        <v>2830</v>
      </c>
      <c r="C18" s="18" t="s">
        <v>2831</v>
      </c>
      <c r="D18" s="18" t="s">
        <v>2832</v>
      </c>
      <c r="E18" s="18" t="s">
        <v>2833</v>
      </c>
      <c r="F18" s="18" t="s">
        <v>2834</v>
      </c>
      <c r="G18" s="18" t="s">
        <v>2777</v>
      </c>
    </row>
    <row r="19" customFormat="false" ht="15" hidden="false" customHeight="false" outlineLevel="0" collapsed="false">
      <c r="A19" s="18" t="s">
        <v>2829</v>
      </c>
      <c r="B19" s="18" t="s">
        <v>2772</v>
      </c>
      <c r="C19" s="18" t="s">
        <v>2835</v>
      </c>
      <c r="D19" s="18" t="s">
        <v>2836</v>
      </c>
      <c r="E19" s="18" t="s">
        <v>2837</v>
      </c>
      <c r="F19" s="18" t="s">
        <v>2838</v>
      </c>
      <c r="G19" s="18" t="s">
        <v>789</v>
      </c>
    </row>
    <row r="20" customFormat="false" ht="23.85" hidden="false" customHeight="false" outlineLevel="0" collapsed="false">
      <c r="A20" s="18" t="s">
        <v>2829</v>
      </c>
      <c r="B20" s="18" t="s">
        <v>2772</v>
      </c>
      <c r="C20" s="18" t="s">
        <v>2839</v>
      </c>
      <c r="D20" s="18" t="s">
        <v>2840</v>
      </c>
      <c r="E20" s="18" t="s">
        <v>2841</v>
      </c>
      <c r="F20" s="18" t="s">
        <v>2842</v>
      </c>
      <c r="G20" s="18" t="s">
        <v>2814</v>
      </c>
    </row>
    <row r="21" customFormat="false" ht="23.85" hidden="false" customHeight="false" outlineLevel="0" collapsed="false">
      <c r="A21" s="18" t="s">
        <v>2843</v>
      </c>
      <c r="B21" s="18" t="s">
        <v>2844</v>
      </c>
      <c r="C21" s="18" t="s">
        <v>2845</v>
      </c>
      <c r="D21" s="18" t="s">
        <v>2846</v>
      </c>
      <c r="E21" s="18" t="s">
        <v>2847</v>
      </c>
      <c r="F21" s="18" t="s">
        <v>2848</v>
      </c>
      <c r="G21" s="18" t="s">
        <v>825</v>
      </c>
    </row>
    <row r="22" customFormat="false" ht="15" hidden="false" customHeight="false" outlineLevel="0" collapsed="false">
      <c r="A22" s="18" t="s">
        <v>2843</v>
      </c>
      <c r="B22" s="18" t="s">
        <v>2772</v>
      </c>
      <c r="C22" s="18" t="s">
        <v>2849</v>
      </c>
      <c r="D22" s="18" t="s">
        <v>2850</v>
      </c>
      <c r="E22" s="18" t="s">
        <v>2851</v>
      </c>
      <c r="F22" s="18" t="s">
        <v>2852</v>
      </c>
      <c r="G22" s="18" t="s">
        <v>2814</v>
      </c>
    </row>
    <row r="23" customFormat="false" ht="15" hidden="false" customHeight="false" outlineLevel="0" collapsed="false">
      <c r="A23" s="18" t="s">
        <v>2843</v>
      </c>
      <c r="B23" s="18" t="s">
        <v>2772</v>
      </c>
      <c r="C23" s="18" t="s">
        <v>2853</v>
      </c>
      <c r="D23" s="18" t="s">
        <v>2854</v>
      </c>
      <c r="E23" s="18" t="s">
        <v>2855</v>
      </c>
      <c r="F23" s="18" t="s">
        <v>2856</v>
      </c>
      <c r="G23" s="18" t="s">
        <v>789</v>
      </c>
    </row>
    <row r="24" customFormat="false" ht="23.85" hidden="false" customHeight="false" outlineLevel="0" collapsed="false">
      <c r="A24" s="18" t="s">
        <v>2857</v>
      </c>
      <c r="B24" s="18" t="s">
        <v>2858</v>
      </c>
      <c r="C24" s="18" t="s">
        <v>2859</v>
      </c>
      <c r="D24" s="18" t="s">
        <v>2860</v>
      </c>
      <c r="E24" s="18" t="s">
        <v>2861</v>
      </c>
      <c r="F24" s="18" t="s">
        <v>2862</v>
      </c>
      <c r="G24" s="18" t="s">
        <v>2814</v>
      </c>
    </row>
    <row r="25" customFormat="false" ht="23.85" hidden="false" customHeight="false" outlineLevel="0" collapsed="false">
      <c r="A25" s="18" t="s">
        <v>2857</v>
      </c>
      <c r="B25" s="18" t="s">
        <v>2772</v>
      </c>
      <c r="C25" s="18" t="s">
        <v>2863</v>
      </c>
      <c r="D25" s="18" t="s">
        <v>2864</v>
      </c>
      <c r="E25" s="18" t="s">
        <v>2865</v>
      </c>
      <c r="F25" s="18" t="s">
        <v>2866</v>
      </c>
      <c r="G25" s="18" t="s">
        <v>958</v>
      </c>
    </row>
    <row r="26" customFormat="false" ht="23.85" hidden="false" customHeight="false" outlineLevel="0" collapsed="false">
      <c r="A26" s="18" t="s">
        <v>2867</v>
      </c>
      <c r="B26" s="18" t="s">
        <v>2868</v>
      </c>
      <c r="C26" s="18" t="s">
        <v>2869</v>
      </c>
      <c r="D26" s="18" t="s">
        <v>2870</v>
      </c>
      <c r="E26" s="18" t="s">
        <v>2871</v>
      </c>
      <c r="F26" s="18" t="s">
        <v>2872</v>
      </c>
      <c r="G26" s="18" t="s">
        <v>958</v>
      </c>
    </row>
    <row r="27" customFormat="false" ht="23.85" hidden="false" customHeight="false" outlineLevel="0" collapsed="false">
      <c r="A27" s="18" t="s">
        <v>2867</v>
      </c>
      <c r="B27" s="18" t="s">
        <v>2772</v>
      </c>
      <c r="C27" s="18" t="s">
        <v>2873</v>
      </c>
      <c r="D27" s="18" t="s">
        <v>2874</v>
      </c>
      <c r="E27" s="18" t="s">
        <v>2875</v>
      </c>
      <c r="F27" s="18" t="s">
        <v>2876</v>
      </c>
      <c r="G27" s="18" t="s">
        <v>2814</v>
      </c>
    </row>
    <row r="28" customFormat="false" ht="23.85" hidden="false" customHeight="false" outlineLevel="0" collapsed="false">
      <c r="A28" s="18" t="s">
        <v>2867</v>
      </c>
      <c r="B28" s="18" t="s">
        <v>2772</v>
      </c>
      <c r="C28" s="18" t="s">
        <v>2877</v>
      </c>
      <c r="D28" s="18" t="s">
        <v>2878</v>
      </c>
      <c r="E28" s="18" t="s">
        <v>2879</v>
      </c>
      <c r="F28" s="18" t="s">
        <v>2880</v>
      </c>
      <c r="G28" s="18" t="s">
        <v>958</v>
      </c>
    </row>
    <row r="31" customFormat="false" ht="15" hidden="false" customHeight="false" outlineLevel="0" collapsed="false">
      <c r="A31" s="30" t="s">
        <v>2881</v>
      </c>
    </row>
    <row r="32" customFormat="false" ht="15" hidden="false" customHeight="false" outlineLevel="0" collapsed="false">
      <c r="A32" s="2" t="s">
        <v>2882</v>
      </c>
    </row>
    <row r="33" customFormat="false" ht="36" hidden="false" customHeight="true" outlineLevel="0" collapsed="false">
      <c r="A33" s="17" t="s">
        <v>2883</v>
      </c>
      <c r="B33" s="17" t="s">
        <v>2884</v>
      </c>
      <c r="C33" s="17" t="s">
        <v>2885</v>
      </c>
      <c r="D33" s="17" t="s">
        <v>2886</v>
      </c>
      <c r="E33" s="17" t="s">
        <v>2887</v>
      </c>
      <c r="F33" s="17" t="s">
        <v>1580</v>
      </c>
      <c r="G33" s="17" t="s">
        <v>2888</v>
      </c>
      <c r="H33" s="17" t="s">
        <v>2889</v>
      </c>
      <c r="I33" s="17" t="s">
        <v>2890</v>
      </c>
      <c r="J33" s="17" t="s">
        <v>2891</v>
      </c>
      <c r="K33" s="17" t="s">
        <v>2892</v>
      </c>
    </row>
    <row r="34" customFormat="false" ht="15" hidden="false" customHeight="false" outlineLevel="0" collapsed="false">
      <c r="A34" s="37" t="str">
        <f aca="false">'Material Properties'!C7</f>
        <v>ASTM A36</v>
      </c>
      <c r="B34" s="37" t="str">
        <f aca="false">'Material Properties'!D7</f>
        <v>Plate/shapes (specified)</v>
      </c>
      <c r="C34" s="43" t="n">
        <f aca="false">'Material Properties'!G7</f>
        <v>7.85</v>
      </c>
      <c r="D34" s="40" t="n">
        <f aca="false">'Material Properties'!H7</f>
        <v>200</v>
      </c>
      <c r="E34" s="44" t="n">
        <f aca="false">IF(ISNUMBER('Material Properties'!K7),'Material Properties'!K7,'Material Properties'!L7)</f>
        <v>250</v>
      </c>
      <c r="F34" s="26" t="n">
        <f aca="false">D34/C34</f>
        <v>25.4777070063694</v>
      </c>
      <c r="G34" s="23" t="n">
        <f aca="false">SQRT(D34)/C34</f>
        <v>1.80154593932878</v>
      </c>
      <c r="H34" s="29" t="n">
        <f aca="false">E34^(2/3)/C34</f>
        <v>5.05541736295605</v>
      </c>
      <c r="I34" s="26" t="n">
        <f aca="false">E34/C34</f>
        <v>31.8471337579618</v>
      </c>
      <c r="J34" s="19" t="n">
        <f aca="false">RANK(G34,$G$34:$G$44)</f>
        <v>9</v>
      </c>
      <c r="K34" s="19" t="n">
        <f aca="false">RANK(H34,$H$34:$H$44)</f>
        <v>11</v>
      </c>
    </row>
    <row r="35" customFormat="false" ht="15" hidden="false" customHeight="false" outlineLevel="0" collapsed="false">
      <c r="A35" s="37" t="str">
        <f aca="false">'Material Properties'!C13</f>
        <v>AISI 4140</v>
      </c>
      <c r="B35" s="37" t="str">
        <f aca="false">'Material Properties'!D13</f>
        <v>Q&amp;T (oil quench, ≈650 °C temper)</v>
      </c>
      <c r="C35" s="43" t="n">
        <f aca="false">'Material Properties'!G13</f>
        <v>7.85</v>
      </c>
      <c r="D35" s="40" t="n">
        <f aca="false">'Material Properties'!H13</f>
        <v>205</v>
      </c>
      <c r="E35" s="44" t="n">
        <f aca="false">IF(ISNUMBER('Material Properties'!K13),'Material Properties'!K13,'Material Properties'!L13)</f>
        <v>655</v>
      </c>
      <c r="F35" s="26" t="n">
        <f aca="false">D35/C35</f>
        <v>26.1146496815287</v>
      </c>
      <c r="G35" s="23" t="n">
        <f aca="false">SQRT(D35)/C35</f>
        <v>1.8239262500989</v>
      </c>
      <c r="H35" s="29" t="n">
        <f aca="false">E35^(2/3)/C35</f>
        <v>9.60781303511769</v>
      </c>
      <c r="I35" s="26" t="n">
        <f aca="false">E35/C35</f>
        <v>83.4394904458599</v>
      </c>
      <c r="J35" s="19" t="n">
        <f aca="false">RANK(G35,$G$34:$G$44)</f>
        <v>7</v>
      </c>
      <c r="K35" s="19" t="n">
        <f aca="false">RANK(H35,$H$34:$H$44)</f>
        <v>9</v>
      </c>
    </row>
    <row r="36" customFormat="false" ht="15" hidden="false" customHeight="false" outlineLevel="0" collapsed="false">
      <c r="A36" s="37" t="str">
        <f aca="false">'Material Properties'!C20</f>
        <v>17-4 PH (UNS S17400)</v>
      </c>
      <c r="B36" s="37" t="str">
        <f aca="false">'Material Properties'!D20</f>
        <v>Condition H1025 (A564 min)</v>
      </c>
      <c r="C36" s="43" t="n">
        <f aca="false">'Material Properties'!G20</f>
        <v>7.78</v>
      </c>
      <c r="D36" s="40" t="n">
        <f aca="false">'Material Properties'!H20</f>
        <v>197</v>
      </c>
      <c r="E36" s="44" t="n">
        <f aca="false">IF(ISNUMBER('Material Properties'!K20),'Material Properties'!K20,'Material Properties'!L20)</f>
        <v>1000</v>
      </c>
      <c r="F36" s="26" t="n">
        <f aca="false">D36/C36</f>
        <v>25.3213367609254</v>
      </c>
      <c r="G36" s="23" t="n">
        <f aca="false">SQRT(D36)/C36</f>
        <v>1.80407054596635</v>
      </c>
      <c r="H36" s="29" t="n">
        <f aca="false">E36^(2/3)/C36</f>
        <v>12.853470437018</v>
      </c>
      <c r="I36" s="26" t="n">
        <f aca="false">E36/C36</f>
        <v>128.53470437018</v>
      </c>
      <c r="J36" s="19" t="n">
        <f aca="false">RANK(G36,$G$34:$G$44)</f>
        <v>8</v>
      </c>
      <c r="K36" s="19" t="n">
        <f aca="false">RANK(H36,$H$34:$H$44)</f>
        <v>7</v>
      </c>
    </row>
    <row r="37" customFormat="false" ht="15" hidden="false" customHeight="false" outlineLevel="0" collapsed="false">
      <c r="A37" s="37" t="str">
        <f aca="false">'Material Properties'!C37</f>
        <v>AA 6061-T6</v>
      </c>
      <c r="B37" s="37" t="str">
        <f aca="false">'Material Properties'!D37</f>
        <v>Sheet/plate/extrusion (typical)</v>
      </c>
      <c r="C37" s="43" t="n">
        <f aca="false">'Material Properties'!G37</f>
        <v>2.7</v>
      </c>
      <c r="D37" s="40" t="n">
        <f aca="false">'Material Properties'!H37</f>
        <v>68.9</v>
      </c>
      <c r="E37" s="44" t="n">
        <f aca="false">IF(ISNUMBER('Material Properties'!K37),'Material Properties'!K37,'Material Properties'!L37)</f>
        <v>276</v>
      </c>
      <c r="F37" s="26" t="n">
        <f aca="false">D37/C37</f>
        <v>25.5185185185185</v>
      </c>
      <c r="G37" s="23" t="n">
        <f aca="false">SQRT(D37)/C37</f>
        <v>3.07429718065883</v>
      </c>
      <c r="H37" s="29" t="n">
        <f aca="false">E37^(2/3)/C37</f>
        <v>15.7003363778863</v>
      </c>
      <c r="I37" s="26" t="n">
        <f aca="false">E37/C37</f>
        <v>102.222222222222</v>
      </c>
      <c r="J37" s="19" t="n">
        <f aca="false">RANK(G37,$G$34:$G$44)</f>
        <v>4</v>
      </c>
      <c r="K37" s="19" t="n">
        <f aca="false">RANK(H37,$H$34:$H$44)</f>
        <v>6</v>
      </c>
    </row>
    <row r="38" customFormat="false" ht="15" hidden="false" customHeight="false" outlineLevel="0" collapsed="false">
      <c r="A38" s="37" t="str">
        <f aca="false">'Material Properties'!C38</f>
        <v>AA 7075-T6</v>
      </c>
      <c r="B38" s="37" t="str">
        <f aca="false">'Material Properties'!D38</f>
        <v>Sheet/plate (typical)</v>
      </c>
      <c r="C38" s="43" t="n">
        <f aca="false">'Material Properties'!G38</f>
        <v>2.81</v>
      </c>
      <c r="D38" s="40" t="n">
        <f aca="false">'Material Properties'!H38</f>
        <v>71.7</v>
      </c>
      <c r="E38" s="44" t="n">
        <f aca="false">IF(ISNUMBER('Material Properties'!K38),'Material Properties'!K38,'Material Properties'!L38)</f>
        <v>503</v>
      </c>
      <c r="F38" s="26" t="n">
        <f aca="false">D38/C38</f>
        <v>25.5160142348754</v>
      </c>
      <c r="G38" s="23" t="n">
        <f aca="false">SQRT(D38)/C38</f>
        <v>3.01337553452193</v>
      </c>
      <c r="H38" s="29" t="n">
        <f aca="false">E38^(2/3)/C38</f>
        <v>22.5081086797609</v>
      </c>
      <c r="I38" s="26" t="n">
        <f aca="false">E38/C38</f>
        <v>179.003558718861</v>
      </c>
      <c r="J38" s="19" t="n">
        <f aca="false">RANK(G38,$G$34:$G$44)</f>
        <v>5</v>
      </c>
      <c r="K38" s="19" t="n">
        <f aca="false">RANK(H38,$H$34:$H$44)</f>
        <v>2</v>
      </c>
    </row>
    <row r="39" customFormat="false" ht="15" hidden="false" customHeight="false" outlineLevel="0" collapsed="false">
      <c r="A39" s="37" t="str">
        <f aca="false">'Material Properties'!C42</f>
        <v>AA 5083-H111</v>
      </c>
      <c r="B39" s="37" t="str">
        <f aca="false">'Material Properties'!D42</f>
        <v>EN 485-2 minima</v>
      </c>
      <c r="C39" s="43" t="n">
        <f aca="false">'Material Properties'!G42</f>
        <v>2.66</v>
      </c>
      <c r="D39" s="40" t="n">
        <f aca="false">'Material Properties'!H42</f>
        <v>71</v>
      </c>
      <c r="E39" s="44" t="n">
        <f aca="false">IF(ISNUMBER('Material Properties'!K42),'Material Properties'!K42,'Material Properties'!L42)</f>
        <v>125</v>
      </c>
      <c r="F39" s="26" t="n">
        <f aca="false">D39/C39</f>
        <v>26.6917293233083</v>
      </c>
      <c r="G39" s="23" t="n">
        <f aca="false">SQRT(D39)/C39</f>
        <v>3.16772547863773</v>
      </c>
      <c r="H39" s="29" t="n">
        <f aca="false">E39^(2/3)/C39</f>
        <v>9.3984962406015</v>
      </c>
      <c r="I39" s="26" t="n">
        <f aca="false">E39/C39</f>
        <v>46.9924812030075</v>
      </c>
      <c r="J39" s="19" t="n">
        <f aca="false">RANK(G39,$G$34:$G$44)</f>
        <v>3</v>
      </c>
      <c r="K39" s="19" t="n">
        <f aca="false">RANK(H39,$H$34:$H$44)</f>
        <v>10</v>
      </c>
    </row>
    <row r="40" customFormat="false" ht="15" hidden="false" customHeight="false" outlineLevel="0" collapsed="false">
      <c r="A40" s="37" t="str">
        <f aca="false">'Material Properties'!C53</f>
        <v>AZ31B</v>
      </c>
      <c r="B40" s="37" t="str">
        <f aca="false">'Material Properties'!D53</f>
        <v>O-temper sheet (typical)</v>
      </c>
      <c r="C40" s="43" t="n">
        <f aca="false">'Material Properties'!G53</f>
        <v>1.77</v>
      </c>
      <c r="D40" s="40" t="n">
        <f aca="false">'Material Properties'!H53</f>
        <v>45</v>
      </c>
      <c r="E40" s="44" t="n">
        <f aca="false">IF(ISNUMBER('Material Properties'!K53),'Material Properties'!K53,'Material Properties'!L53)</f>
        <v>150</v>
      </c>
      <c r="F40" s="26" t="n">
        <f aca="false">D40/C40</f>
        <v>25.4237288135593</v>
      </c>
      <c r="G40" s="23" t="n">
        <f aca="false">SQRT(D40)/C40</f>
        <v>3.78994572457591</v>
      </c>
      <c r="H40" s="29" t="n">
        <f aca="false">E40^(2/3)/C40</f>
        <v>15.9497632013734</v>
      </c>
      <c r="I40" s="26" t="n">
        <f aca="false">E40/C40</f>
        <v>84.7457627118644</v>
      </c>
      <c r="J40" s="19" t="n">
        <f aca="false">RANK(G40,$G$34:$G$44)</f>
        <v>2</v>
      </c>
      <c r="K40" s="19" t="n">
        <f aca="false">RANK(H40,$H$34:$H$44)</f>
        <v>5</v>
      </c>
    </row>
    <row r="41" customFormat="false" ht="15" hidden="false" customHeight="false" outlineLevel="0" collapsed="false">
      <c r="A41" s="37" t="str">
        <f aca="false">'Material Properties'!C52</f>
        <v>Ti-6Al-4V Gr 5</v>
      </c>
      <c r="B41" s="37" t="str">
        <f aca="false">'Material Properties'!D52</f>
        <v>Annealed (B265 min)</v>
      </c>
      <c r="C41" s="43" t="n">
        <f aca="false">'Material Properties'!G52</f>
        <v>4.43</v>
      </c>
      <c r="D41" s="40" t="n">
        <f aca="false">'Material Properties'!H52</f>
        <v>113.8</v>
      </c>
      <c r="E41" s="44" t="n">
        <f aca="false">IF(ISNUMBER('Material Properties'!K52),'Material Properties'!K52,'Material Properties'!L52)</f>
        <v>825</v>
      </c>
      <c r="F41" s="26" t="n">
        <f aca="false">D41/C41</f>
        <v>25.6884875846501</v>
      </c>
      <c r="G41" s="23" t="n">
        <f aca="false">SQRT(D41)/C41</f>
        <v>2.40806056037825</v>
      </c>
      <c r="H41" s="29" t="n">
        <f aca="false">E41^(2/3)/C41</f>
        <v>19.8563265353427</v>
      </c>
      <c r="I41" s="26" t="n">
        <f aca="false">E41/C41</f>
        <v>186.230248306998</v>
      </c>
      <c r="J41" s="19" t="n">
        <f aca="false">RANK(G41,$G$34:$G$44)</f>
        <v>6</v>
      </c>
      <c r="K41" s="19" t="n">
        <f aca="false">RANK(H41,$H$34:$H$44)</f>
        <v>3</v>
      </c>
    </row>
    <row r="42" customFormat="false" ht="15" hidden="false" customHeight="false" outlineLevel="0" collapsed="false">
      <c r="A42" s="37" t="str">
        <f aca="false">'Material Properties'!C76</f>
        <v>CFRP UD epoxy (Vf≈0.6)</v>
      </c>
      <c r="B42" s="37" t="str">
        <f aca="false">'Material Properties'!D76</f>
        <v>0° direction</v>
      </c>
      <c r="C42" s="43" t="n">
        <f aca="false">'Material Properties'!G76</f>
        <v>1.56</v>
      </c>
      <c r="D42" s="40" t="n">
        <f aca="false">'Material Properties'!H76</f>
        <v>135</v>
      </c>
      <c r="E42" s="44" t="n">
        <f aca="false">IF(ISNUMBER('Material Properties'!K76),'Material Properties'!K76,'Material Properties'!L76)</f>
        <v>1800</v>
      </c>
      <c r="F42" s="26" t="n">
        <f aca="false">D42/C42</f>
        <v>86.5384615384615</v>
      </c>
      <c r="G42" s="23" t="n">
        <f aca="false">SQRT(D42)/C42</f>
        <v>7.44804489655272</v>
      </c>
      <c r="H42" s="29" t="n">
        <f aca="false">E42^(2/3)/C42</f>
        <v>94.8543105511719</v>
      </c>
      <c r="I42" s="26" t="n">
        <f aca="false">E42/C42</f>
        <v>1153.84615384615</v>
      </c>
      <c r="J42" s="19" t="n">
        <f aca="false">RANK(G42,$G$34:$G$44)</f>
        <v>1</v>
      </c>
      <c r="K42" s="19" t="n">
        <f aca="false">RANK(H42,$H$34:$H$44)</f>
        <v>1</v>
      </c>
    </row>
    <row r="43" customFormat="false" ht="23.85" hidden="false" customHeight="false" outlineLevel="0" collapsed="false">
      <c r="A43" s="37" t="str">
        <f aca="false">'Material Properties'!C57</f>
        <v>UNS N07718</v>
      </c>
      <c r="B43" s="37" t="str">
        <f aca="false">'Material Properties'!D57</f>
        <v>Solution + aged (AMS-type minimum, approx.)</v>
      </c>
      <c r="C43" s="43" t="n">
        <f aca="false">'Material Properties'!G57</f>
        <v>8.19</v>
      </c>
      <c r="D43" s="40" t="n">
        <f aca="false">'Material Properties'!H57</f>
        <v>200</v>
      </c>
      <c r="E43" s="44" t="n">
        <f aca="false">IF(ISNUMBER('Material Properties'!K57),'Material Properties'!K57,'Material Properties'!L57)</f>
        <v>1034</v>
      </c>
      <c r="F43" s="26" t="n">
        <f aca="false">D43/C43</f>
        <v>24.4200244200244</v>
      </c>
      <c r="G43" s="23" t="n">
        <f aca="false">SQRT(D43)/C43</f>
        <v>1.72675648641404</v>
      </c>
      <c r="H43" s="29" t="n">
        <f aca="false">E43^(2/3)/C43</f>
        <v>12.4852274177887</v>
      </c>
      <c r="I43" s="26" t="n">
        <f aca="false">E43/C43</f>
        <v>126.251526251526</v>
      </c>
      <c r="J43" s="19" t="n">
        <f aca="false">RANK(G43,$G$34:$G$44)</f>
        <v>10</v>
      </c>
      <c r="K43" s="19" t="n">
        <f aca="false">RANK(H43,$H$34:$H$44)</f>
        <v>8</v>
      </c>
    </row>
    <row r="44" customFormat="false" ht="15" hidden="false" customHeight="false" outlineLevel="0" collapsed="false">
      <c r="A44" s="37" t="str">
        <f aca="false">'Material Properties'!C67</f>
        <v>PEEK</v>
      </c>
      <c r="B44" s="37" t="str">
        <f aca="false">'Material Properties'!D67</f>
        <v>Unfilled</v>
      </c>
      <c r="C44" s="43" t="n">
        <f aca="false">'Material Properties'!G67</f>
        <v>1.3</v>
      </c>
      <c r="D44" s="40" t="n">
        <f aca="false">'Material Properties'!H67</f>
        <v>3.6</v>
      </c>
      <c r="E44" s="44" t="n">
        <f aca="false">IF(ISNUMBER('Material Properties'!K67),'Material Properties'!K67,'Material Properties'!L67)</f>
        <v>100</v>
      </c>
      <c r="F44" s="26" t="n">
        <f aca="false">D44/C44</f>
        <v>2.76923076923077</v>
      </c>
      <c r="G44" s="23" t="n">
        <f aca="false">SQRT(D44)/C44</f>
        <v>1.45951276623156</v>
      </c>
      <c r="H44" s="29" t="n">
        <f aca="false">E44^(2/3)/C44</f>
        <v>16.5725745387068</v>
      </c>
      <c r="I44" s="26" t="n">
        <f aca="false">E44/C44</f>
        <v>76.9230769230769</v>
      </c>
      <c r="J44" s="19" t="n">
        <f aca="false">RANK(G44,$G$34:$G$44)</f>
        <v>11</v>
      </c>
      <c r="K44" s="19" t="n">
        <f aca="false">RANK(H44,$H$34:$H$44)</f>
        <v>4</v>
      </c>
    </row>
  </sheetData>
  <autoFilter ref="A4:G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2893</v>
      </c>
    </row>
    <row r="2" customFormat="false" ht="15" hidden="false" customHeight="false" outlineLevel="0" collapsed="false">
      <c r="A2" s="16"/>
    </row>
    <row r="4" customFormat="false" ht="42" hidden="false" customHeight="true" outlineLevel="0" collapsed="false">
      <c r="A4" s="17" t="s">
        <v>2356</v>
      </c>
      <c r="B4" s="17" t="s">
        <v>2894</v>
      </c>
      <c r="C4" s="17" t="s">
        <v>2895</v>
      </c>
      <c r="D4" s="17" t="s">
        <v>2896</v>
      </c>
    </row>
    <row r="5" customFormat="false" ht="23.85" hidden="false" customHeight="false" outlineLevel="0" collapsed="false">
      <c r="A5" s="18" t="s">
        <v>2897</v>
      </c>
      <c r="B5" s="18" t="s">
        <v>2898</v>
      </c>
      <c r="C5" s="42" t="s">
        <v>2224</v>
      </c>
      <c r="D5" s="18" t="s">
        <v>2899</v>
      </c>
    </row>
    <row r="6" customFormat="false" ht="15" hidden="false" customHeight="false" outlineLevel="0" collapsed="false">
      <c r="A6" s="18" t="s">
        <v>2900</v>
      </c>
      <c r="B6" s="18" t="s">
        <v>2901</v>
      </c>
      <c r="C6" s="42" t="s">
        <v>2266</v>
      </c>
      <c r="D6" s="18" t="s">
        <v>2902</v>
      </c>
    </row>
    <row r="7" customFormat="false" ht="15" hidden="false" customHeight="false" outlineLevel="0" collapsed="false">
      <c r="A7" s="18" t="s">
        <v>2351</v>
      </c>
      <c r="B7" s="18" t="s">
        <v>2903</v>
      </c>
      <c r="C7" s="42" t="s">
        <v>2353</v>
      </c>
      <c r="D7" s="18" t="s">
        <v>2904</v>
      </c>
    </row>
    <row r="8" customFormat="false" ht="15" hidden="false" customHeight="false" outlineLevel="0" collapsed="false">
      <c r="A8" s="18" t="s">
        <v>2905</v>
      </c>
      <c r="B8" s="18" t="s">
        <v>2906</v>
      </c>
      <c r="C8" s="42" t="s">
        <v>2907</v>
      </c>
      <c r="D8" s="18" t="s">
        <v>2908</v>
      </c>
    </row>
    <row r="9" customFormat="false" ht="15" hidden="false" customHeight="false" outlineLevel="0" collapsed="false">
      <c r="A9" s="18" t="s">
        <v>2909</v>
      </c>
      <c r="B9" s="18" t="s">
        <v>2910</v>
      </c>
      <c r="C9" s="42" t="s">
        <v>2911</v>
      </c>
      <c r="D9" s="18" t="s">
        <v>2912</v>
      </c>
    </row>
    <row r="10" customFormat="false" ht="15" hidden="false" customHeight="false" outlineLevel="0" collapsed="false">
      <c r="A10" s="18" t="s">
        <v>2913</v>
      </c>
      <c r="B10" s="18" t="s">
        <v>2914</v>
      </c>
      <c r="C10" s="42" t="s">
        <v>2915</v>
      </c>
      <c r="D10" s="18" t="s">
        <v>2916</v>
      </c>
    </row>
    <row r="11" customFormat="false" ht="15" hidden="false" customHeight="false" outlineLevel="0" collapsed="false">
      <c r="A11" s="18" t="s">
        <v>2917</v>
      </c>
      <c r="B11" s="18" t="s">
        <v>2918</v>
      </c>
      <c r="C11" s="42" t="s">
        <v>2919</v>
      </c>
      <c r="D11" s="18" t="s">
        <v>2916</v>
      </c>
    </row>
    <row r="12" customFormat="false" ht="15" hidden="false" customHeight="false" outlineLevel="0" collapsed="false">
      <c r="A12" s="18" t="s">
        <v>2920</v>
      </c>
      <c r="B12" s="18" t="s">
        <v>2921</v>
      </c>
      <c r="C12" s="42" t="s">
        <v>2922</v>
      </c>
      <c r="D12" s="18" t="s">
        <v>2923</v>
      </c>
    </row>
    <row r="13" customFormat="false" ht="15" hidden="false" customHeight="false" outlineLevel="0" collapsed="false">
      <c r="A13" s="18" t="s">
        <v>2924</v>
      </c>
      <c r="B13" s="18" t="s">
        <v>2925</v>
      </c>
      <c r="C13" s="42" t="s">
        <v>2926</v>
      </c>
      <c r="D13" s="18" t="s">
        <v>2916</v>
      </c>
    </row>
    <row r="16" customFormat="false" ht="15" hidden="false" customHeight="false" outlineLevel="0" collapsed="false">
      <c r="A16" s="30" t="s">
        <v>2927</v>
      </c>
    </row>
    <row r="17" customFormat="false" ht="43.5" hidden="false" customHeight="true" outlineLevel="0" collapsed="false">
      <c r="A17" s="18" t="s">
        <v>2928</v>
      </c>
      <c r="B17" s="18" t="s">
        <v>2929</v>
      </c>
      <c r="C17" s="18"/>
      <c r="D17" s="18"/>
    </row>
    <row r="18" customFormat="false" ht="43.5" hidden="false" customHeight="true" outlineLevel="0" collapsed="false">
      <c r="A18" s="18" t="s">
        <v>2930</v>
      </c>
      <c r="B18" s="18" t="s">
        <v>2931</v>
      </c>
      <c r="C18" s="18"/>
      <c r="D18" s="18"/>
    </row>
    <row r="19" customFormat="false" ht="43.5" hidden="false" customHeight="true" outlineLevel="0" collapsed="false">
      <c r="A19" s="18" t="s">
        <v>2932</v>
      </c>
      <c r="B19" s="18" t="s">
        <v>2933</v>
      </c>
      <c r="C19" s="18"/>
      <c r="D19" s="18"/>
    </row>
    <row r="20" customFormat="false" ht="43.5" hidden="false" customHeight="true" outlineLevel="0" collapsed="false">
      <c r="A20" s="18" t="s">
        <v>2934</v>
      </c>
      <c r="B20" s="18" t="s">
        <v>2935</v>
      </c>
      <c r="C20" s="18"/>
      <c r="D20" s="18"/>
    </row>
    <row r="21" customFormat="false" ht="43.5" hidden="false" customHeight="true" outlineLevel="0" collapsed="false">
      <c r="A21" s="18" t="s">
        <v>2936</v>
      </c>
      <c r="B21" s="18" t="s">
        <v>2937</v>
      </c>
      <c r="C21" s="18"/>
      <c r="D21" s="18"/>
    </row>
    <row r="22" customFormat="false" ht="43.5" hidden="false" customHeight="true" outlineLevel="0" collapsed="false">
      <c r="A22" s="18" t="s">
        <v>2938</v>
      </c>
      <c r="B22" s="18" t="s">
        <v>2939</v>
      </c>
      <c r="C22" s="18"/>
      <c r="D22" s="18"/>
    </row>
    <row r="23" customFormat="false" ht="43.5" hidden="false" customHeight="true" outlineLevel="0" collapsed="false">
      <c r="A23" s="18" t="s">
        <v>2940</v>
      </c>
      <c r="B23" s="18" t="s">
        <v>2941</v>
      </c>
      <c r="C23" s="18"/>
      <c r="D23" s="18"/>
    </row>
    <row r="24" customFormat="false" ht="43.5" hidden="false" customHeight="true" outlineLevel="0" collapsed="false">
      <c r="A24" s="18" t="s">
        <v>2942</v>
      </c>
      <c r="B24" s="18" t="s">
        <v>2943</v>
      </c>
      <c r="C24" s="18"/>
      <c r="D24" s="18"/>
    </row>
    <row r="27" customFormat="false" ht="15" hidden="false" customHeight="false" outlineLevel="0" collapsed="false">
      <c r="A27" s="30" t="s">
        <v>2944</v>
      </c>
    </row>
    <row r="28" customFormat="false" ht="15" hidden="false" customHeight="true" outlineLevel="0" collapsed="false">
      <c r="A28" s="18" t="s">
        <v>2945</v>
      </c>
      <c r="B28" s="18" t="s">
        <v>2946</v>
      </c>
      <c r="C28" s="18"/>
      <c r="D28" s="18"/>
    </row>
    <row r="29" customFormat="false" ht="15" hidden="false" customHeight="true" outlineLevel="0" collapsed="false">
      <c r="A29" s="18" t="s">
        <v>2947</v>
      </c>
      <c r="B29" s="18" t="s">
        <v>2948</v>
      </c>
      <c r="C29" s="18"/>
      <c r="D29" s="18"/>
    </row>
    <row r="30" customFormat="false" ht="15" hidden="false" customHeight="true" outlineLevel="0" collapsed="false">
      <c r="A30" s="18" t="s">
        <v>2949</v>
      </c>
      <c r="B30" s="18" t="s">
        <v>2950</v>
      </c>
      <c r="C30" s="18"/>
      <c r="D30" s="18"/>
    </row>
    <row r="31" customFormat="false" ht="15" hidden="false" customHeight="true" outlineLevel="0" collapsed="false">
      <c r="A31" s="18" t="s">
        <v>2951</v>
      </c>
      <c r="B31" s="18" t="s">
        <v>2952</v>
      </c>
      <c r="C31" s="18"/>
      <c r="D31" s="18"/>
    </row>
    <row r="32" customFormat="false" ht="15" hidden="false" customHeight="true" outlineLevel="0" collapsed="false">
      <c r="A32" s="18" t="s">
        <v>2953</v>
      </c>
      <c r="B32" s="18" t="s">
        <v>2954</v>
      </c>
      <c r="C32" s="18"/>
      <c r="D32" s="18"/>
    </row>
    <row r="33" customFormat="false" ht="15" hidden="false" customHeight="true" outlineLevel="0" collapsed="false">
      <c r="A33" s="18" t="s">
        <v>2955</v>
      </c>
      <c r="B33" s="18" t="s">
        <v>2956</v>
      </c>
      <c r="C33" s="18"/>
      <c r="D33" s="18"/>
    </row>
    <row r="36" customFormat="false" ht="15" hidden="false" customHeight="false" outlineLevel="0" collapsed="false">
      <c r="A36" s="30" t="s">
        <v>2957</v>
      </c>
    </row>
    <row r="37" customFormat="false" ht="15" hidden="false" customHeight="false" outlineLevel="0" collapsed="false">
      <c r="A37" s="45" t="s">
        <v>2958</v>
      </c>
    </row>
    <row r="38" customFormat="false" ht="15" hidden="false" customHeight="false" outlineLevel="0" collapsed="false">
      <c r="A38" s="46" t="s">
        <v>2959</v>
      </c>
    </row>
    <row r="39" customFormat="false" ht="15" hidden="false" customHeight="false" outlineLevel="0" collapsed="false">
      <c r="A39" s="47" t="s">
        <v>2960</v>
      </c>
    </row>
    <row r="40" customFormat="false" ht="15" hidden="false" customHeight="false" outlineLevel="0" collapsed="false">
      <c r="A40" s="48" t="s">
        <v>2961</v>
      </c>
    </row>
  </sheetData>
  <mergeCells count="14">
    <mergeCell ref="B17:D17"/>
    <mergeCell ref="B18:D18"/>
    <mergeCell ref="B19:D19"/>
    <mergeCell ref="B20:D20"/>
    <mergeCell ref="B21:D21"/>
    <mergeCell ref="B22:D22"/>
    <mergeCell ref="B23:D23"/>
    <mergeCell ref="B24:D24"/>
    <mergeCell ref="B28:D28"/>
    <mergeCell ref="B29:D29"/>
    <mergeCell ref="B30:D30"/>
    <mergeCell ref="B31:D31"/>
    <mergeCell ref="B32:D32"/>
    <mergeCell ref="B33:D33"/>
  </mergeCells>
  <hyperlinks>
    <hyperlink ref="C5" r:id="rId1" display="https://www.astm.org/"/>
    <hyperlink ref="C6" r:id="rId2" display="https://www.bis.gov.in/"/>
    <hyperlink ref="C7" r:id="rId3" display="https://www.iso.org/"/>
    <hyperlink ref="C8" r:id="rId4" display="https://www.asminternational.org/"/>
    <hyperlink ref="C9" r:id="rId5" display="https://www.matweb.com/"/>
    <hyperlink ref="C10" r:id="rId6" display="https://www.nist.gov/"/>
    <hyperlink ref="C11" r:id="rId7" display="https://www.aluminum.org/"/>
    <hyperlink ref="C12" r:id="rId8" display="https://www.ssab.com/"/>
    <hyperlink ref="C13" r:id="rId9" display="https://www.specialmetals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2026-10-21T01:46:42Z</dcterms:created>
  <dc:creator>openpyxl</dc:creator>
  <dc:description/>
  <dc:language>en-US</dc:language>
  <cp:lastModifiedBy/>
  <dcterms:modified xsi:type="dcterms:W3CDTF">2026-10-21T01:46:43Z</dcterms:modified>
  <cp:revision>0</cp:revision>
  <dc:subject/>
  <dc:title>Materials engineering analysis &amp; industry report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